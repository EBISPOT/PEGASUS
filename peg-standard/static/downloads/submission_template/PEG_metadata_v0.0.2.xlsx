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Description" sheetId="1" r:id="rId1"/>
    <sheet name="GenomicIdentifier" sheetId="2" r:id="rId2"/>
    <sheet name="Evidence" sheetId="3" r:id="rId3"/>
    <sheet name="validation" sheetId="4" state="hidden" r:id="rId4"/>
    <sheet name="Integration" sheetId="5" r:id="rId5"/>
    <sheet name="Source" sheetId="6" r:id="rId6"/>
    <sheet name="Method" sheetId="7" r:id="rId7"/>
  </sheets>
  <calcPr calcId="124519" fullCalcOnLoad="1"/>
</workbook>
</file>

<file path=xl/sharedStrings.xml><?xml version="1.0" encoding="utf-8"?>
<sst xmlns="http://schemas.openxmlformats.org/spreadsheetml/2006/main" count="245" uniqueCount="229">
  <si>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</si>
  <si>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</si>
  <si>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</si>
  <si>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Identifier of the origin of the PEG list (e.g., publication, DOI, preprint, URL).</t>
  </si>
  <si>
    <t>Detailed description of the GWAS samples.</t>
  </si>
  <si>
    <t>Total number of individuals included in the GWAS analysis.</t>
  </si>
  <si>
    <t>Indicator of whether the GWAS design is case–control (TRUE or FALSE).</t>
  </si>
  <si>
    <t>Free-text description of participant ancestry</t>
  </si>
  <si>
    <t>Broad ancestry category that best describes the sample. Multiple values can be listed separated by '|'.</t>
  </si>
  <si>
    <t>trait_description</t>
  </si>
  <si>
    <t>trait_ontology_id</t>
  </si>
  <si>
    <t>gwas_source</t>
  </si>
  <si>
    <t>peg_source</t>
  </si>
  <si>
    <t>gwas_samples_description</t>
  </si>
  <si>
    <t>gwas_sample_size</t>
  </si>
  <si>
    <t>gwas_case_control_study</t>
  </si>
  <si>
    <t>gwas_sample_ancestry</t>
  </si>
  <si>
    <t>gwas_sample_ancestry_label</t>
  </si>
  <si>
    <t>Ascorbic acid 3-sulfate levels</t>
  </si>
  <si>
    <t>EFO_0800173</t>
  </si>
  <si>
    <t>GCST000001</t>
  </si>
  <si>
    <t>PMID:36357675</t>
  </si>
  <si>
    <t>6,136 Finnish ancestry individuals</t>
  </si>
  <si>
    <t>Finland</t>
  </si>
  <si>
    <t>European</t>
  </si>
  <si>
    <t>Explanation of how the main variant was selected  (e.g., lead, sentinel, index, mixed).</t>
  </si>
  <si>
    <t>Genome assembly used to map variants.</t>
  </si>
  <si>
    <t>Additional free-text notes about the variant</t>
  </si>
  <si>
    <t>Version of the source database used for gene symbols/IDs (e.g., HGNC version).</t>
  </si>
  <si>
    <t>Version of the gene symbol reference authority</t>
  </si>
  <si>
    <t>Additional gene-level metadata that supports interpretation.</t>
  </si>
  <si>
    <t>Method used to define locus boundaries</t>
  </si>
  <si>
    <t>Provide the explanation of how the identifier was derived</t>
  </si>
  <si>
    <t>Additional information supporting locus interpretation.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</si>
  <si>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</si>
  <si>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</si>
  <si>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</si>
  <si>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</si>
  <si>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</si>
  <si>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</si>
  <si>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</si>
  <si>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</si>
  <si>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</si>
  <si>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</si>
  <si>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</si>
  <si>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</si>
  <si>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</si>
  <si>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</si>
  <si>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NA</t>
  </si>
  <si>
    <t>lead_variant +/- 500kb</t>
  </si>
  <si>
    <t>lead_variant</t>
  </si>
  <si>
    <t>Locus information</t>
  </si>
  <si>
    <t>Unique column name used in the PEG evidence matrix.</t>
  </si>
  <si>
    <t>Free text explanation of the content in this column..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</si>
  <si>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</si>
  <si>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</si>
  <si>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</si>
  <si>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</si>
  <si>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</si>
  <si>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</si>
  <si>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</si>
  <si>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</si>
  <si>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</si>
  <si>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</si>
  <si>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evidence_stream_tag</t>
  </si>
  <si>
    <t>evidence_category</t>
  </si>
  <si>
    <t>evidence_category_abbreviation</t>
  </si>
  <si>
    <t>variant_or_gene_centric</t>
  </si>
  <si>
    <t>source_tag</t>
  </si>
  <si>
    <t>method_tag</t>
  </si>
  <si>
    <t>threshold</t>
  </si>
  <si>
    <t>note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</si>
  <si>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</si>
  <si>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</si>
  <si>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</si>
  <si>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</si>
  <si>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</si>
  <si>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</si>
  <si>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</si>
  <si>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</si>
  <si>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</si>
  <si>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CHROMATIN</t>
  </si>
  <si>
    <t>Chromatin interaction</t>
  </si>
  <si>
    <t>COLOC</t>
  </si>
  <si>
    <t>Colocalisation</t>
  </si>
  <si>
    <t>CROSSP</t>
  </si>
  <si>
    <t>Cross-phenotype</t>
  </si>
  <si>
    <t>DB</t>
  </si>
  <si>
    <t>Association from curated database</t>
  </si>
  <si>
    <t>DRUG</t>
  </si>
  <si>
    <t>Drug related</t>
  </si>
  <si>
    <t>EXP</t>
  </si>
  <si>
    <t>Expression</t>
  </si>
  <si>
    <t>FINEMAP</t>
  </si>
  <si>
    <t>Finemapping and credible sets</t>
  </si>
  <si>
    <t>FUNC</t>
  </si>
  <si>
    <t>Predicted functional impact</t>
  </si>
  <si>
    <t>GENEBASE</t>
  </si>
  <si>
    <t>Gene-based association</t>
  </si>
  <si>
    <t>GWAS</t>
  </si>
  <si>
    <t>Genome-wide association (GWAS) signal</t>
  </si>
  <si>
    <t>KNOW</t>
  </si>
  <si>
    <t>Biological Knowledge Inference</t>
  </si>
  <si>
    <t>LD</t>
  </si>
  <si>
    <t>Linkage disequilibrium</t>
  </si>
  <si>
    <t>LIT</t>
  </si>
  <si>
    <t>Literature curation</t>
  </si>
  <si>
    <t>MR</t>
  </si>
  <si>
    <t>Mendelian Randomization (MR)</t>
  </si>
  <si>
    <t>PERTURB</t>
  </si>
  <si>
    <t>Perturbation</t>
  </si>
  <si>
    <t>PHEWAS</t>
  </si>
  <si>
    <t>PheWAS (Phenome-Wide Association Study)</t>
  </si>
  <si>
    <t>PPI</t>
  </si>
  <si>
    <t>Protein–protein interaction</t>
  </si>
  <si>
    <t>PROX</t>
  </si>
  <si>
    <t>Proximity to gene (distance)</t>
  </si>
  <si>
    <t>REG</t>
  </si>
  <si>
    <t>Regulatory region</t>
  </si>
  <si>
    <t>SET</t>
  </si>
  <si>
    <t>Pathway or gene sets</t>
  </si>
  <si>
    <t>TPWAS</t>
  </si>
  <si>
    <t>Genetically predicted trait association (TWAS/PWAS)</t>
  </si>
  <si>
    <t>Author-assigned analysis name that can be cited as evidence in the integrated_analysis_name field.</t>
  </si>
  <si>
    <t>Free text explanation of the content in this column.</t>
  </si>
  <si>
    <t>Indicates when values in this column reflect the authors’ conclusions for defining the PEG list. NOTE: only **ONE** column per matrix can be assiged as `True`. We recommend including the string 'author_conclusion' in the appropirate column header.</t>
  </si>
  <si>
    <t>A list of variant-centric or gene-centric evidence stream names combined in the integration.</t>
  </si>
  <si>
    <t>A list of integration_tag values from other integration analyses that are included in this integration analysis</t>
  </si>
  <si>
    <t>Identifier for the analysis method (from Method tab).</t>
  </si>
  <si>
    <t>Extra details to aid interpretation.</t>
  </si>
  <si>
    <t>integration_tag</t>
  </si>
  <si>
    <t>author_conclusion</t>
  </si>
  <si>
    <t>evidence_streams_included</t>
  </si>
  <si>
    <t>integrations_included</t>
  </si>
  <si>
    <t>notes</t>
  </si>
  <si>
    <t>pops</t>
  </si>
  <si>
    <t>INT_pops</t>
  </si>
  <si>
    <t>Integrated score based on multiple evidence types for the gene</t>
  </si>
  <si>
    <t>TRUE</t>
  </si>
  <si>
    <t>FUNC | eQTL | pQTL | FM | 3d |PHEWAS |TWAS</t>
  </si>
  <si>
    <t>pops | flames</t>
  </si>
  <si>
    <t>soft_pops</t>
  </si>
  <si>
    <t>0.05</t>
  </si>
  <si>
    <t>Unique identifier for the source.</t>
  </si>
  <si>
    <t>Provenance type indicating the origin of the data source. Use lab_internal for unpublished data generated by your lab. Use publication for published data not deposited in a repository. Use the official name of the resource (e.g., GTEx, ENCODE).</t>
  </si>
  <si>
    <t>Exact filename of the source dataset.</t>
  </si>
  <si>
    <t>Version or release of the dataset.</t>
  </si>
  <si>
    <t>Web link to the source file used in the analysis.</t>
  </si>
  <si>
    <t>Accession identifier if the source file comes from the repository.</t>
  </si>
  <si>
    <t>DOI for the publication containing the source file.</t>
  </si>
  <si>
    <t>Biological origin of the sample (e.g., primary-tissue, organoid, cell-line, iPSC-derived).</t>
  </si>
  <si>
    <t>Primary tissue sampled (detailed anatomical location).</t>
  </si>
  <si>
    <t>The detailed anatomical location of the sample; provide a specific UBERON term (https://www.ebi.ac.uk/ols4/ontologies/uberon).</t>
  </si>
  <si>
    <t>Specific cell type, if applicable.</t>
  </si>
  <si>
    <t>Cell Ontology (CL) term ID for the cell type.</t>
  </si>
  <si>
    <t>Cell line name if sample_origin is "cell-line".</t>
  </si>
  <si>
    <t>Disease status of the donor or sample.</t>
  </si>
  <si>
    <t>Developmental stage of the biosample.</t>
  </si>
  <si>
    <t>Developmental stage ontology term ID. If organism_ontology_term_id is NCBITaxon:9606 use HSAPDV:*; if NCBITaxon:10090 use MMUSDV:*.</t>
  </si>
  <si>
    <t>Treatments or perturbations applied prior to or during data generation.</t>
  </si>
  <si>
    <t>Sex composition of samples.</t>
  </si>
  <si>
    <t>PATO term ID for sex/life stage if provided (e.g. PATO_0000383 female, PATO_0000384 male, PATO_0001894 for unknown).</t>
  </si>
  <si>
    <t>Species of the sample.</t>
  </si>
  <si>
    <t>NCBITaxon_9606 for Homo sapiens, NCBITaxon_10090 for Mus musculus.</t>
  </si>
  <si>
    <t>Brief summary of sample characteristics and intended use.</t>
  </si>
  <si>
    <t>provenance</t>
  </si>
  <si>
    <t>file_name</t>
  </si>
  <si>
    <t>version</t>
  </si>
  <si>
    <t>url</t>
  </si>
  <si>
    <t>accession_id</t>
  </si>
  <si>
    <t>doi</t>
  </si>
  <si>
    <t>sample_origin</t>
  </si>
  <si>
    <t>tissue</t>
  </si>
  <si>
    <t>tissue_ontology_term_id</t>
  </si>
  <si>
    <t>cell_type</t>
  </si>
  <si>
    <t>cell_type_ontology_term_id</t>
  </si>
  <si>
    <t>cell_line</t>
  </si>
  <si>
    <t>disease</t>
  </si>
  <si>
    <t>life_stage</t>
  </si>
  <si>
    <t>development_stage_ontology_term_id</t>
  </si>
  <si>
    <t>treatment</t>
  </si>
  <si>
    <t>sex</t>
  </si>
  <si>
    <t>sex_ontology_term_id</t>
  </si>
  <si>
    <t>species</t>
  </si>
  <si>
    <t>organism_ontology_term_id</t>
  </si>
  <si>
    <t>description</t>
  </si>
  <si>
    <t>GTEx</t>
  </si>
  <si>
    <t>GTEx_Analysis_2017-06-05_v8_RNASeQCv1.1.9_gene_tpm.gct.gz</t>
  </si>
  <si>
    <t>v8</t>
  </si>
  <si>
    <t>https://gtexportal.org/</t>
  </si>
  <si>
    <t>GSE123456</t>
  </si>
  <si>
    <t>10.1038/s41586-020-2493-4</t>
  </si>
  <si>
    <t>primary-tissue</t>
  </si>
  <si>
    <t>aorta</t>
  </si>
  <si>
    <t>UBERON_0000947</t>
  </si>
  <si>
    <t>alpha cells</t>
  </si>
  <si>
    <t>CL_0001204</t>
  </si>
  <si>
    <t>K562</t>
  </si>
  <si>
    <t>healthy</t>
  </si>
  <si>
    <t>adult</t>
  </si>
  <si>
    <t>HSAPDV_0000264</t>
  </si>
  <si>
    <t>anti-IgM treated</t>
  </si>
  <si>
    <t>mixed</t>
  </si>
  <si>
    <t>PATO_0001894</t>
  </si>
  <si>
    <t>human</t>
  </si>
  <si>
    <t>NCBITaxon_9606</t>
  </si>
  <si>
    <t>Bulk pancreas tissue samples from healthy postmortem adult human donors in GTEx v10. Used for eQTL discovery. Samples span male and female donors aged approximately 20–70 years. No treatment applied.</t>
  </si>
  <si>
    <t>Unique identifier for the method, used in the PEG evidence and integration metadata.</t>
  </si>
  <si>
    <t>Specifies whether the method is a published software tool or a manual approach.</t>
  </si>
  <si>
    <t xml:space="preserve">Manual assertion:ECO_0000218; Automatic assertion:ECO_0000203;Manually integrated combinatorial evidence: ECO_0007674;Automatically integrated combinatorial evidence: ECO_0007673 </t>
  </si>
  <si>
    <t>Name of the software used.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</si>
  <si>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</si>
  <si>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</si>
  <si>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</si>
  <si>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</si>
  <si>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</si>
  <si>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method_mode_ontology_term_id</t>
  </si>
  <si>
    <t>software_name</t>
  </si>
  <si>
    <t>software_version</t>
  </si>
  <si>
    <t>software_url</t>
  </si>
  <si>
    <t>software_doi</t>
  </si>
  <si>
    <t>method_description</t>
  </si>
  <si>
    <t>software</t>
  </si>
  <si>
    <t>ECO_0000203</t>
  </si>
  <si>
    <t>FastQTL</t>
  </si>
  <si>
    <t>v1.0</t>
  </si>
  <si>
    <t>https://github.com/francois-a/fastqtl</t>
  </si>
  <si>
    <t>10.1093/BIOINFORMATICS/BTV722</t>
  </si>
  <si>
    <t>Custom scoring model combining eQTL and chromatin interaction data.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</si>
</sst>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8E8E8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7B7B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gtexportal.org/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francois-a/fastq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9.7109375" customWidth="1"/>
    <col min="3" max="3" width="14.7109375" customWidth="1"/>
    <col min="4" max="4" width="17.7109375" customWidth="1"/>
    <col min="5" max="5" width="26.7109375" customWidth="1"/>
    <col min="6" max="6" width="18.7109375" customWidth="1"/>
    <col min="7" max="7" width="25.7109375" customWidth="1"/>
    <col min="8" max="8" width="22.7109375" customWidth="1"/>
    <col min="9" max="9" width="28.7109375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36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>
        <v>6136</v>
      </c>
      <c r="G3" s="4" t="b">
        <v>0</v>
      </c>
      <c r="H3" s="4" t="s">
        <v>23</v>
      </c>
      <c r="I3" s="4" t="s">
        <v>24</v>
      </c>
    </row>
    <row r="4" spans="1:9" s="5" customFormat="1" ht="18" customHeight="1"/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G4:G200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24.7109375" customWidth="1"/>
    <col min="5" max="5" width="28.7109375" customWidth="1"/>
    <col min="6" max="6" width="17.7109375" customWidth="1"/>
    <col min="7" max="8" width="16.7109375" customWidth="1"/>
    <col min="9" max="9" width="17.7109375" customWidth="1"/>
  </cols>
  <sheetData>
    <row r="1" spans="1:9" ht="42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22" customHeight="1">
      <c r="A2" s="3" t="s">
        <v>34</v>
      </c>
      <c r="B2" s="2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</row>
    <row r="3" spans="1:9" ht="36" customHeight="1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</row>
    <row r="4" spans="1:9" s="5" customFormat="1" ht="18" customHeight="1"/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B4:B200">
      <formula1>"GRCh37,GRCh38"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21.7109375" customWidth="1"/>
    <col min="4" max="4" width="19.7109375" customWidth="1"/>
    <col min="5" max="5" width="32.7109375" customWidth="1"/>
    <col min="6" max="6" width="25.7109375" customWidth="1"/>
    <col min="7" max="7" width="21.7109375" customWidth="1"/>
    <col min="8" max="8" width="16.7109375" customWidth="1"/>
    <col min="9" max="9" width="14.7109375" customWidth="1"/>
    <col min="10" max="10" width="17.7109375" customWidth="1"/>
  </cols>
  <sheetData>
    <row r="1" spans="1:10" ht="42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ht="22" customHeigh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3" t="s">
        <v>70</v>
      </c>
      <c r="J2" s="3" t="s">
        <v>71</v>
      </c>
    </row>
    <row r="3" spans="1:10" ht="36" customHeight="1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80</v>
      </c>
      <c r="J3" s="4"/>
    </row>
    <row r="4" spans="1:10" s="5" customFormat="1" ht="18" customHeight="1">
      <c r="D4" s="5">
        <f>IF($E4="","",IFERROR(VLOOKUP($E4,validation!$A$2:$B$23,2,FALSE),""))</f>
        <v>0</v>
      </c>
      <c r="E4" s="5">
        <f>IF($D4="","",IFERROR(INDEX(validation!$A$2:$A$23,MATCH($D4,validation!$B$2:$B$23,0)),""))</f>
        <v>0</v>
      </c>
    </row>
    <row r="5" spans="1:10" s="5" customFormat="1" ht="18" customHeight="1">
      <c r="D5" s="5">
        <f>IF($E5="","",IFERROR(VLOOKUP($E5,validation!$A$2:$B$23,2,FALSE),""))</f>
        <v>0</v>
      </c>
      <c r="E5" s="5">
        <f>IF($D5="","",IFERROR(INDEX(validation!$A$2:$A$23,MATCH($D5,validation!$B$2:$B$23,0)),""))</f>
        <v>0</v>
      </c>
    </row>
    <row r="6" spans="1:10" s="5" customFormat="1" ht="18" customHeight="1">
      <c r="D6" s="5">
        <f>IF($E6="","",IFERROR(VLOOKUP($E6,validation!$A$2:$B$23,2,FALSE),""))</f>
        <v>0</v>
      </c>
      <c r="E6" s="5">
        <f>IF($D6="","",IFERROR(INDEX(validation!$A$2:$A$23,MATCH($D6,validation!$B$2:$B$23,0)),""))</f>
        <v>0</v>
      </c>
    </row>
    <row r="7" spans="1:10" s="5" customFormat="1" ht="18" customHeight="1">
      <c r="D7" s="5">
        <f>IF($E7="","",IFERROR(VLOOKUP($E7,validation!$A$2:$B$23,2,FALSE),""))</f>
        <v>0</v>
      </c>
      <c r="E7" s="5">
        <f>IF($D7="","",IFERROR(INDEX(validation!$A$2:$A$23,MATCH($D7,validation!$B$2:$B$23,0)),""))</f>
        <v>0</v>
      </c>
    </row>
    <row r="8" spans="1:10" s="5" customFormat="1" ht="18" customHeight="1">
      <c r="D8" s="5">
        <f>IF($E8="","",IFERROR(VLOOKUP($E8,validation!$A$2:$B$23,2,FALSE),""))</f>
        <v>0</v>
      </c>
      <c r="E8" s="5">
        <f>IF($D8="","",IFERROR(INDEX(validation!$A$2:$A$23,MATCH($D8,validation!$B$2:$B$23,0)),""))</f>
        <v>0</v>
      </c>
    </row>
    <row r="9" spans="1:10" s="5" customFormat="1" ht="18" customHeight="1">
      <c r="D9" s="5">
        <f>IF($E9="","",IFERROR(VLOOKUP($E9,validation!$A$2:$B$23,2,FALSE),""))</f>
        <v>0</v>
      </c>
      <c r="E9" s="5">
        <f>IF($D9="","",IFERROR(INDEX(validation!$A$2:$A$23,MATCH($D9,validation!$B$2:$B$23,0)),""))</f>
        <v>0</v>
      </c>
    </row>
    <row r="10" spans="1:10" s="5" customFormat="1" ht="18" customHeight="1">
      <c r="D10" s="5">
        <f>IF($E10="","",IFERROR(VLOOKUP($E10,validation!$A$2:$B$23,2,FALSE),""))</f>
        <v>0</v>
      </c>
      <c r="E10" s="5">
        <f>IF($D10="","",IFERROR(INDEX(validation!$A$2:$A$23,MATCH($D10,validation!$B$2:$B$23,0)),""))</f>
        <v>0</v>
      </c>
    </row>
    <row r="11" spans="1:10" s="5" customFormat="1" ht="18" customHeight="1">
      <c r="D11" s="5">
        <f>IF($E11="","",IFERROR(VLOOKUP($E11,validation!$A$2:$B$23,2,FALSE),""))</f>
        <v>0</v>
      </c>
      <c r="E11" s="5">
        <f>IF($D11="","",IFERROR(INDEX(validation!$A$2:$A$23,MATCH($D11,validation!$B$2:$B$23,0)),""))</f>
        <v>0</v>
      </c>
    </row>
    <row r="12" spans="1:10" s="5" customFormat="1" ht="18" customHeight="1">
      <c r="D12" s="5">
        <f>IF($E12="","",IFERROR(VLOOKUP($E12,validation!$A$2:$B$23,2,FALSE),""))</f>
        <v>0</v>
      </c>
      <c r="E12" s="5">
        <f>IF($D12="","",IFERROR(INDEX(validation!$A$2:$A$23,MATCH($D12,validation!$B$2:$B$23,0)),""))</f>
        <v>0</v>
      </c>
    </row>
    <row r="13" spans="1:10" s="5" customFormat="1" ht="18" customHeight="1">
      <c r="D13" s="5">
        <f>IF($E13="","",IFERROR(VLOOKUP($E13,validation!$A$2:$B$23,2,FALSE),""))</f>
        <v>0</v>
      </c>
      <c r="E13" s="5">
        <f>IF($D13="","",IFERROR(INDEX(validation!$A$2:$A$23,MATCH($D13,validation!$B$2:$B$23,0)),""))</f>
        <v>0</v>
      </c>
    </row>
    <row r="14" spans="1:10" s="5" customFormat="1" ht="18" customHeight="1">
      <c r="D14" s="5">
        <f>IF($E14="","",IFERROR(VLOOKUP($E14,validation!$A$2:$B$23,2,FALSE),""))</f>
        <v>0</v>
      </c>
      <c r="E14" s="5">
        <f>IF($D14="","",IFERROR(INDEX(validation!$A$2:$A$23,MATCH($D14,validation!$B$2:$B$23,0)),""))</f>
        <v>0</v>
      </c>
    </row>
    <row r="15" spans="1:10" s="5" customFormat="1" ht="18" customHeight="1">
      <c r="D15" s="5">
        <f>IF($E15="","",IFERROR(VLOOKUP($E15,validation!$A$2:$B$23,2,FALSE),""))</f>
        <v>0</v>
      </c>
      <c r="E15" s="5">
        <f>IF($D15="","",IFERROR(INDEX(validation!$A$2:$A$23,MATCH($D15,validation!$B$2:$B$23,0)),""))</f>
        <v>0</v>
      </c>
    </row>
    <row r="16" spans="1:10" s="5" customFormat="1" ht="18" customHeight="1">
      <c r="D16" s="5">
        <f>IF($E16="","",IFERROR(VLOOKUP($E16,validation!$A$2:$B$23,2,FALSE),""))</f>
        <v>0</v>
      </c>
      <c r="E16" s="5">
        <f>IF($D16="","",IFERROR(INDEX(validation!$A$2:$A$23,MATCH($D16,validation!$B$2:$B$23,0)),""))</f>
        <v>0</v>
      </c>
    </row>
    <row r="17" spans="4:5" s="5" customFormat="1" ht="18" customHeight="1">
      <c r="D17" s="5">
        <f>IF($E17="","",IFERROR(VLOOKUP($E17,validation!$A$2:$B$23,2,FALSE),""))</f>
        <v>0</v>
      </c>
      <c r="E17" s="5">
        <f>IF($D17="","",IFERROR(INDEX(validation!$A$2:$A$23,MATCH($D17,validation!$B$2:$B$23,0)),""))</f>
        <v>0</v>
      </c>
    </row>
    <row r="18" spans="4:5" s="5" customFormat="1" ht="18" customHeight="1">
      <c r="D18" s="5">
        <f>IF($E18="","",IFERROR(VLOOKUP($E18,validation!$A$2:$B$23,2,FALSE),""))</f>
        <v>0</v>
      </c>
      <c r="E18" s="5">
        <f>IF($D18="","",IFERROR(INDEX(validation!$A$2:$A$23,MATCH($D18,validation!$B$2:$B$23,0)),""))</f>
        <v>0</v>
      </c>
    </row>
    <row r="19" spans="4:5" s="5" customFormat="1" ht="18" customHeight="1">
      <c r="D19" s="5">
        <f>IF($E19="","",IFERROR(VLOOKUP($E19,validation!$A$2:$B$23,2,FALSE),""))</f>
        <v>0</v>
      </c>
      <c r="E19" s="5">
        <f>IF($D19="","",IFERROR(INDEX(validation!$A$2:$A$23,MATCH($D19,validation!$B$2:$B$23,0)),""))</f>
        <v>0</v>
      </c>
    </row>
    <row r="20" spans="4:5" s="5" customFormat="1" ht="18" customHeight="1">
      <c r="D20" s="5">
        <f>IF($E20="","",IFERROR(VLOOKUP($E20,validation!$A$2:$B$23,2,FALSE),""))</f>
        <v>0</v>
      </c>
      <c r="E20" s="5">
        <f>IF($D20="","",IFERROR(INDEX(validation!$A$2:$A$23,MATCH($D20,validation!$B$2:$B$23,0)),""))</f>
        <v>0</v>
      </c>
    </row>
    <row r="21" spans="4:5" s="5" customFormat="1" ht="18" customHeight="1">
      <c r="D21" s="5">
        <f>IF($E21="","",IFERROR(VLOOKUP($E21,validation!$A$2:$B$23,2,FALSE),""))</f>
        <v>0</v>
      </c>
      <c r="E21" s="5">
        <f>IF($D21="","",IFERROR(INDEX(validation!$A$2:$A$23,MATCH($D21,validation!$B$2:$B$23,0)),""))</f>
        <v>0</v>
      </c>
    </row>
    <row r="22" spans="4:5" s="5" customFormat="1" ht="18" customHeight="1">
      <c r="D22" s="5">
        <f>IF($E22="","",IFERROR(VLOOKUP($E22,validation!$A$2:$B$23,2,FALSE),""))</f>
        <v>0</v>
      </c>
      <c r="E22" s="5">
        <f>IF($D22="","",IFERROR(INDEX(validation!$A$2:$A$23,MATCH($D22,validation!$B$2:$B$23,0)),""))</f>
        <v>0</v>
      </c>
    </row>
    <row r="23" spans="4:5" s="5" customFormat="1" ht="18" customHeight="1">
      <c r="D23" s="5">
        <f>IF($E23="","",IFERROR(VLOOKUP($E23,validation!$A$2:$B$23,2,FALSE),""))</f>
        <v>0</v>
      </c>
      <c r="E23" s="5">
        <f>IF($D23="","",IFERROR(INDEX(validation!$A$2:$A$23,MATCH($D23,validation!$B$2:$B$23,0)),""))</f>
        <v>0</v>
      </c>
    </row>
    <row r="24" spans="4:5" s="5" customFormat="1" ht="18" customHeight="1">
      <c r="D24" s="5">
        <f>IF($E24="","",IFERROR(VLOOKUP($E24,validation!$A$2:$B$23,2,FALSE),""))</f>
        <v>0</v>
      </c>
      <c r="E24" s="5">
        <f>IF($D24="","",IFERROR(INDEX(validation!$A$2:$A$23,MATCH($D24,validation!$B$2:$B$23,0)),""))</f>
        <v>0</v>
      </c>
    </row>
    <row r="25" spans="4:5" s="5" customFormat="1" ht="18" customHeight="1">
      <c r="D25" s="5">
        <f>IF($E25="","",IFERROR(VLOOKUP($E25,validation!$A$2:$B$23,2,FALSE),""))</f>
        <v>0</v>
      </c>
      <c r="E25" s="5">
        <f>IF($D25="","",IFERROR(INDEX(validation!$A$2:$A$23,MATCH($D25,validation!$B$2:$B$23,0)),""))</f>
        <v>0</v>
      </c>
    </row>
    <row r="26" spans="4:5" s="5" customFormat="1" ht="18" customHeight="1">
      <c r="D26" s="5">
        <f>IF($E26="","",IFERROR(VLOOKUP($E26,validation!$A$2:$B$23,2,FALSE),""))</f>
        <v>0</v>
      </c>
      <c r="E26" s="5">
        <f>IF($D26="","",IFERROR(INDEX(validation!$A$2:$A$23,MATCH($D26,validation!$B$2:$B$23,0)),""))</f>
        <v>0</v>
      </c>
    </row>
    <row r="27" spans="4:5" s="5" customFormat="1" ht="18" customHeight="1">
      <c r="D27" s="5">
        <f>IF($E27="","",IFERROR(VLOOKUP($E27,validation!$A$2:$B$23,2,FALSE),""))</f>
        <v>0</v>
      </c>
      <c r="E27" s="5">
        <f>IF($D27="","",IFERROR(INDEX(validation!$A$2:$A$23,MATCH($D27,validation!$B$2:$B$23,0)),""))</f>
        <v>0</v>
      </c>
    </row>
    <row r="28" spans="4:5" s="5" customFormat="1" ht="18" customHeight="1">
      <c r="D28" s="5">
        <f>IF($E28="","",IFERROR(VLOOKUP($E28,validation!$A$2:$B$23,2,FALSE),""))</f>
        <v>0</v>
      </c>
      <c r="E28" s="5">
        <f>IF($D28="","",IFERROR(INDEX(validation!$A$2:$A$23,MATCH($D28,validation!$B$2:$B$23,0)),""))</f>
        <v>0</v>
      </c>
    </row>
    <row r="29" spans="4:5" s="5" customFormat="1" ht="18" customHeight="1">
      <c r="D29" s="5">
        <f>IF($E29="","",IFERROR(VLOOKUP($E29,validation!$A$2:$B$23,2,FALSE),""))</f>
        <v>0</v>
      </c>
      <c r="E29" s="5">
        <f>IF($D29="","",IFERROR(INDEX(validation!$A$2:$A$23,MATCH($D29,validation!$B$2:$B$23,0)),""))</f>
        <v>0</v>
      </c>
    </row>
    <row r="30" spans="4:5" s="5" customFormat="1" ht="18" customHeight="1">
      <c r="D30" s="5">
        <f>IF($E30="","",IFERROR(VLOOKUP($E30,validation!$A$2:$B$23,2,FALSE),""))</f>
        <v>0</v>
      </c>
      <c r="E30" s="5">
        <f>IF($D30="","",IFERROR(INDEX(validation!$A$2:$A$23,MATCH($D30,validation!$B$2:$B$23,0)),""))</f>
        <v>0</v>
      </c>
    </row>
    <row r="31" spans="4:5" s="5" customFormat="1" ht="18" customHeight="1">
      <c r="D31" s="5">
        <f>IF($E31="","",IFERROR(VLOOKUP($E31,validation!$A$2:$B$23,2,FALSE),""))</f>
        <v>0</v>
      </c>
      <c r="E31" s="5">
        <f>IF($D31="","",IFERROR(INDEX(validation!$A$2:$A$23,MATCH($D31,validation!$B$2:$B$23,0)),""))</f>
        <v>0</v>
      </c>
    </row>
    <row r="32" spans="4:5" s="5" customFormat="1" ht="18" customHeight="1">
      <c r="D32" s="5">
        <f>IF($E32="","",IFERROR(VLOOKUP($E32,validation!$A$2:$B$23,2,FALSE),""))</f>
        <v>0</v>
      </c>
      <c r="E32" s="5">
        <f>IF($D32="","",IFERROR(INDEX(validation!$A$2:$A$23,MATCH($D32,validation!$B$2:$B$23,0)),""))</f>
        <v>0</v>
      </c>
    </row>
    <row r="33" spans="4:5" s="5" customFormat="1" ht="18" customHeight="1">
      <c r="D33" s="5">
        <f>IF($E33="","",IFERROR(VLOOKUP($E33,validation!$A$2:$B$23,2,FALSE),""))</f>
        <v>0</v>
      </c>
      <c r="E33" s="5">
        <f>IF($D33="","",IFERROR(INDEX(validation!$A$2:$A$23,MATCH($D33,validation!$B$2:$B$23,0)),""))</f>
        <v>0</v>
      </c>
    </row>
    <row r="34" spans="4:5" s="5" customFormat="1" ht="18" customHeight="1">
      <c r="D34" s="5">
        <f>IF($E34="","",IFERROR(VLOOKUP($E34,validation!$A$2:$B$23,2,FALSE),""))</f>
        <v>0</v>
      </c>
      <c r="E34" s="5">
        <f>IF($D34="","",IFERROR(INDEX(validation!$A$2:$A$23,MATCH($D34,validation!$B$2:$B$23,0)),""))</f>
        <v>0</v>
      </c>
    </row>
    <row r="35" spans="4:5" s="5" customFormat="1" ht="18" customHeight="1">
      <c r="D35" s="5">
        <f>IF($E35="","",IFERROR(VLOOKUP($E35,validation!$A$2:$B$23,2,FALSE),""))</f>
        <v>0</v>
      </c>
      <c r="E35" s="5">
        <f>IF($D35="","",IFERROR(INDEX(validation!$A$2:$A$23,MATCH($D35,validation!$B$2:$B$23,0)),""))</f>
        <v>0</v>
      </c>
    </row>
    <row r="36" spans="4:5" s="5" customFormat="1" ht="18" customHeight="1">
      <c r="D36" s="5">
        <f>IF($E36="","",IFERROR(VLOOKUP($E36,validation!$A$2:$B$23,2,FALSE),""))</f>
        <v>0</v>
      </c>
      <c r="E36" s="5">
        <f>IF($D36="","",IFERROR(INDEX(validation!$A$2:$A$23,MATCH($D36,validation!$B$2:$B$23,0)),""))</f>
        <v>0</v>
      </c>
    </row>
    <row r="37" spans="4:5" s="5" customFormat="1" ht="18" customHeight="1">
      <c r="D37" s="5">
        <f>IF($E37="","",IFERROR(VLOOKUP($E37,validation!$A$2:$B$23,2,FALSE),""))</f>
        <v>0</v>
      </c>
      <c r="E37" s="5">
        <f>IF($D37="","",IFERROR(INDEX(validation!$A$2:$A$23,MATCH($D37,validation!$B$2:$B$23,0)),""))</f>
        <v>0</v>
      </c>
    </row>
    <row r="38" spans="4:5" s="5" customFormat="1" ht="18" customHeight="1">
      <c r="D38" s="5">
        <f>IF($E38="","",IFERROR(VLOOKUP($E38,validation!$A$2:$B$23,2,FALSE),""))</f>
        <v>0</v>
      </c>
      <c r="E38" s="5">
        <f>IF($D38="","",IFERROR(INDEX(validation!$A$2:$A$23,MATCH($D38,validation!$B$2:$B$23,0)),""))</f>
        <v>0</v>
      </c>
    </row>
    <row r="39" spans="4:5" s="5" customFormat="1" ht="18" customHeight="1">
      <c r="D39" s="5">
        <f>IF($E39="","",IFERROR(VLOOKUP($E39,validation!$A$2:$B$23,2,FALSE),""))</f>
        <v>0</v>
      </c>
      <c r="E39" s="5">
        <f>IF($D39="","",IFERROR(INDEX(validation!$A$2:$A$23,MATCH($D39,validation!$B$2:$B$23,0)),""))</f>
        <v>0</v>
      </c>
    </row>
    <row r="40" spans="4:5" s="5" customFormat="1" ht="18" customHeight="1">
      <c r="D40" s="5">
        <f>IF($E40="","",IFERROR(VLOOKUP($E40,validation!$A$2:$B$23,2,FALSE),""))</f>
        <v>0</v>
      </c>
      <c r="E40" s="5">
        <f>IF($D40="","",IFERROR(INDEX(validation!$A$2:$A$23,MATCH($D40,validation!$B$2:$B$23,0)),""))</f>
        <v>0</v>
      </c>
    </row>
    <row r="41" spans="4:5" s="5" customFormat="1" ht="18" customHeight="1">
      <c r="D41" s="5">
        <f>IF($E41="","",IFERROR(VLOOKUP($E41,validation!$A$2:$B$23,2,FALSE),""))</f>
        <v>0</v>
      </c>
      <c r="E41" s="5">
        <f>IF($D41="","",IFERROR(INDEX(validation!$A$2:$A$23,MATCH($D41,validation!$B$2:$B$23,0)),""))</f>
        <v>0</v>
      </c>
    </row>
    <row r="42" spans="4:5" s="5" customFormat="1" ht="18" customHeight="1">
      <c r="D42" s="5">
        <f>IF($E42="","",IFERROR(VLOOKUP($E42,validation!$A$2:$B$23,2,FALSE),""))</f>
        <v>0</v>
      </c>
      <c r="E42" s="5">
        <f>IF($D42="","",IFERROR(INDEX(validation!$A$2:$A$23,MATCH($D42,validation!$B$2:$B$23,0)),""))</f>
        <v>0</v>
      </c>
    </row>
    <row r="43" spans="4:5" s="5" customFormat="1" ht="18" customHeight="1">
      <c r="D43" s="5">
        <f>IF($E43="","",IFERROR(VLOOKUP($E43,validation!$A$2:$B$23,2,FALSE),""))</f>
        <v>0</v>
      </c>
      <c r="E43" s="5">
        <f>IF($D43="","",IFERROR(INDEX(validation!$A$2:$A$23,MATCH($D43,validation!$B$2:$B$23,0)),""))</f>
        <v>0</v>
      </c>
    </row>
    <row r="44" spans="4:5" s="5" customFormat="1" ht="18" customHeight="1">
      <c r="D44" s="5">
        <f>IF($E44="","",IFERROR(VLOOKUP($E44,validation!$A$2:$B$23,2,FALSE),""))</f>
        <v>0</v>
      </c>
      <c r="E44" s="5">
        <f>IF($D44="","",IFERROR(INDEX(validation!$A$2:$A$23,MATCH($D44,validation!$B$2:$B$23,0)),""))</f>
        <v>0</v>
      </c>
    </row>
    <row r="45" spans="4:5" s="5" customFormat="1" ht="18" customHeight="1">
      <c r="D45" s="5">
        <f>IF($E45="","",IFERROR(VLOOKUP($E45,validation!$A$2:$B$23,2,FALSE),""))</f>
        <v>0</v>
      </c>
      <c r="E45" s="5">
        <f>IF($D45="","",IFERROR(INDEX(validation!$A$2:$A$23,MATCH($D45,validation!$B$2:$B$23,0)),""))</f>
        <v>0</v>
      </c>
    </row>
    <row r="46" spans="4:5" s="5" customFormat="1" ht="18" customHeight="1">
      <c r="D46" s="5">
        <f>IF($E46="","",IFERROR(VLOOKUP($E46,validation!$A$2:$B$23,2,FALSE),""))</f>
        <v>0</v>
      </c>
      <c r="E46" s="5">
        <f>IF($D46="","",IFERROR(INDEX(validation!$A$2:$A$23,MATCH($D46,validation!$B$2:$B$23,0)),""))</f>
        <v>0</v>
      </c>
    </row>
    <row r="47" spans="4:5" s="5" customFormat="1" ht="18" customHeight="1">
      <c r="D47" s="5">
        <f>IF($E47="","",IFERROR(VLOOKUP($E47,validation!$A$2:$B$23,2,FALSE),""))</f>
        <v>0</v>
      </c>
      <c r="E47" s="5">
        <f>IF($D47="","",IFERROR(INDEX(validation!$A$2:$A$23,MATCH($D47,validation!$B$2:$B$23,0)),""))</f>
        <v>0</v>
      </c>
    </row>
    <row r="48" spans="4:5" s="5" customFormat="1" ht="18" customHeight="1">
      <c r="D48" s="5">
        <f>IF($E48="","",IFERROR(VLOOKUP($E48,validation!$A$2:$B$23,2,FALSE),""))</f>
        <v>0</v>
      </c>
      <c r="E48" s="5">
        <f>IF($D48="","",IFERROR(INDEX(validation!$A$2:$A$23,MATCH($D48,validation!$B$2:$B$23,0)),""))</f>
        <v>0</v>
      </c>
    </row>
    <row r="49" spans="4:5" s="5" customFormat="1" ht="18" customHeight="1">
      <c r="D49" s="5">
        <f>IF($E49="","",IFERROR(VLOOKUP($E49,validation!$A$2:$B$23,2,FALSE),""))</f>
        <v>0</v>
      </c>
      <c r="E49" s="5">
        <f>IF($D49="","",IFERROR(INDEX(validation!$A$2:$A$23,MATCH($D49,validation!$B$2:$B$23,0)),""))</f>
        <v>0</v>
      </c>
    </row>
    <row r="50" spans="4:5" s="5" customFormat="1" ht="18" customHeight="1">
      <c r="D50" s="5">
        <f>IF($E50="","",IFERROR(VLOOKUP($E50,validation!$A$2:$B$23,2,FALSE),""))</f>
        <v>0</v>
      </c>
      <c r="E50" s="5">
        <f>IF($D50="","",IFERROR(INDEX(validation!$A$2:$A$23,MATCH($D50,validation!$B$2:$B$23,0)),""))</f>
        <v>0</v>
      </c>
    </row>
    <row r="51" spans="4:5" s="5" customFormat="1" ht="18" customHeight="1">
      <c r="D51" s="5">
        <f>IF($E51="","",IFERROR(VLOOKUP($E51,validation!$A$2:$B$23,2,FALSE),""))</f>
        <v>0</v>
      </c>
      <c r="E51" s="5">
        <f>IF($D51="","",IFERROR(INDEX(validation!$A$2:$A$23,MATCH($D51,validation!$B$2:$B$23,0)),""))</f>
        <v>0</v>
      </c>
    </row>
    <row r="52" spans="4:5" s="5" customFormat="1" ht="18" customHeight="1">
      <c r="D52" s="5">
        <f>IF($E52="","",IFERROR(VLOOKUP($E52,validation!$A$2:$B$23,2,FALSE),""))</f>
        <v>0</v>
      </c>
      <c r="E52" s="5">
        <f>IF($D52="","",IFERROR(INDEX(validation!$A$2:$A$23,MATCH($D52,validation!$B$2:$B$23,0)),""))</f>
        <v>0</v>
      </c>
    </row>
    <row r="53" spans="4:5" s="5" customFormat="1" ht="18" customHeight="1">
      <c r="D53" s="5">
        <f>IF($E53="","",IFERROR(VLOOKUP($E53,validation!$A$2:$B$23,2,FALSE),""))</f>
        <v>0</v>
      </c>
      <c r="E53" s="5">
        <f>IF($D53="","",IFERROR(INDEX(validation!$A$2:$A$23,MATCH($D53,validation!$B$2:$B$23,0)),""))</f>
        <v>0</v>
      </c>
    </row>
    <row r="54" spans="4:5" s="5" customFormat="1" ht="18" customHeight="1">
      <c r="D54" s="5">
        <f>IF($E54="","",IFERROR(VLOOKUP($E54,validation!$A$2:$B$23,2,FALSE),""))</f>
        <v>0</v>
      </c>
      <c r="E54" s="5">
        <f>IF($D54="","",IFERROR(INDEX(validation!$A$2:$A$23,MATCH($D54,validation!$B$2:$B$23,0)),""))</f>
        <v>0</v>
      </c>
    </row>
    <row r="55" spans="4:5" s="5" customFormat="1" ht="18" customHeight="1">
      <c r="D55" s="5">
        <f>IF($E55="","",IFERROR(VLOOKUP($E55,validation!$A$2:$B$23,2,FALSE),""))</f>
        <v>0</v>
      </c>
      <c r="E55" s="5">
        <f>IF($D55="","",IFERROR(INDEX(validation!$A$2:$A$23,MATCH($D55,validation!$B$2:$B$23,0)),""))</f>
        <v>0</v>
      </c>
    </row>
    <row r="56" spans="4:5" s="5" customFormat="1" ht="18" customHeight="1">
      <c r="D56" s="5">
        <f>IF($E56="","",IFERROR(VLOOKUP($E56,validation!$A$2:$B$23,2,FALSE),""))</f>
        <v>0</v>
      </c>
      <c r="E56" s="5">
        <f>IF($D56="","",IFERROR(INDEX(validation!$A$2:$A$23,MATCH($D56,validation!$B$2:$B$23,0)),""))</f>
        <v>0</v>
      </c>
    </row>
    <row r="57" spans="4:5" s="5" customFormat="1" ht="18" customHeight="1">
      <c r="D57" s="5">
        <f>IF($E57="","",IFERROR(VLOOKUP($E57,validation!$A$2:$B$23,2,FALSE),""))</f>
        <v>0</v>
      </c>
      <c r="E57" s="5">
        <f>IF($D57="","",IFERROR(INDEX(validation!$A$2:$A$23,MATCH($D57,validation!$B$2:$B$23,0)),""))</f>
        <v>0</v>
      </c>
    </row>
    <row r="58" spans="4:5" s="5" customFormat="1" ht="18" customHeight="1">
      <c r="D58" s="5">
        <f>IF($E58="","",IFERROR(VLOOKUP($E58,validation!$A$2:$B$23,2,FALSE),""))</f>
        <v>0</v>
      </c>
      <c r="E58" s="5">
        <f>IF($D58="","",IFERROR(INDEX(validation!$A$2:$A$23,MATCH($D58,validation!$B$2:$B$23,0)),""))</f>
        <v>0</v>
      </c>
    </row>
    <row r="59" spans="4:5" s="5" customFormat="1" ht="18" customHeight="1">
      <c r="D59" s="5">
        <f>IF($E59="","",IFERROR(VLOOKUP($E59,validation!$A$2:$B$23,2,FALSE),""))</f>
        <v>0</v>
      </c>
      <c r="E59" s="5">
        <f>IF($D59="","",IFERROR(INDEX(validation!$A$2:$A$23,MATCH($D59,validation!$B$2:$B$23,0)),""))</f>
        <v>0</v>
      </c>
    </row>
    <row r="60" spans="4:5" s="5" customFormat="1" ht="18" customHeight="1">
      <c r="D60" s="5">
        <f>IF($E60="","",IFERROR(VLOOKUP($E60,validation!$A$2:$B$23,2,FALSE),""))</f>
        <v>0</v>
      </c>
      <c r="E60" s="5">
        <f>IF($D60="","",IFERROR(INDEX(validation!$A$2:$A$23,MATCH($D60,validation!$B$2:$B$23,0)),""))</f>
        <v>0</v>
      </c>
    </row>
    <row r="61" spans="4:5" s="5" customFormat="1" ht="18" customHeight="1">
      <c r="D61" s="5">
        <f>IF($E61="","",IFERROR(VLOOKUP($E61,validation!$A$2:$B$23,2,FALSE),""))</f>
        <v>0</v>
      </c>
      <c r="E61" s="5">
        <f>IF($D61="","",IFERROR(INDEX(validation!$A$2:$A$23,MATCH($D61,validation!$B$2:$B$23,0)),""))</f>
        <v>0</v>
      </c>
    </row>
    <row r="62" spans="4:5" s="5" customFormat="1" ht="18" customHeight="1">
      <c r="D62" s="5">
        <f>IF($E62="","",IFERROR(VLOOKUP($E62,validation!$A$2:$B$23,2,FALSE),""))</f>
        <v>0</v>
      </c>
      <c r="E62" s="5">
        <f>IF($D62="","",IFERROR(INDEX(validation!$A$2:$A$23,MATCH($D62,validation!$B$2:$B$23,0)),""))</f>
        <v>0</v>
      </c>
    </row>
    <row r="63" spans="4:5" s="5" customFormat="1" ht="18" customHeight="1">
      <c r="D63" s="5">
        <f>IF($E63="","",IFERROR(VLOOKUP($E63,validation!$A$2:$B$23,2,FALSE),""))</f>
        <v>0</v>
      </c>
      <c r="E63" s="5">
        <f>IF($D63="","",IFERROR(INDEX(validation!$A$2:$A$23,MATCH($D63,validation!$B$2:$B$23,0)),""))</f>
        <v>0</v>
      </c>
    </row>
    <row r="64" spans="4:5" s="5" customFormat="1" ht="18" customHeight="1">
      <c r="D64" s="5">
        <f>IF($E64="","",IFERROR(VLOOKUP($E64,validation!$A$2:$B$23,2,FALSE),""))</f>
        <v>0</v>
      </c>
      <c r="E64" s="5">
        <f>IF($D64="","",IFERROR(INDEX(validation!$A$2:$A$23,MATCH($D64,validation!$B$2:$B$23,0)),""))</f>
        <v>0</v>
      </c>
    </row>
    <row r="65" spans="4:5" s="5" customFormat="1" ht="18" customHeight="1">
      <c r="D65" s="5">
        <f>IF($E65="","",IFERROR(VLOOKUP($E65,validation!$A$2:$B$23,2,FALSE),""))</f>
        <v>0</v>
      </c>
      <c r="E65" s="5">
        <f>IF($D65="","",IFERROR(INDEX(validation!$A$2:$A$23,MATCH($D65,validation!$B$2:$B$23,0)),""))</f>
        <v>0</v>
      </c>
    </row>
    <row r="66" spans="4:5" s="5" customFormat="1" ht="18" customHeight="1">
      <c r="D66" s="5">
        <f>IF($E66="","",IFERROR(VLOOKUP($E66,validation!$A$2:$B$23,2,FALSE),""))</f>
        <v>0</v>
      </c>
      <c r="E66" s="5">
        <f>IF($D66="","",IFERROR(INDEX(validation!$A$2:$A$23,MATCH($D66,validation!$B$2:$B$23,0)),""))</f>
        <v>0</v>
      </c>
    </row>
    <row r="67" spans="4:5" s="5" customFormat="1" ht="18" customHeight="1">
      <c r="D67" s="5">
        <f>IF($E67="","",IFERROR(VLOOKUP($E67,validation!$A$2:$B$23,2,FALSE),""))</f>
        <v>0</v>
      </c>
      <c r="E67" s="5">
        <f>IF($D67="","",IFERROR(INDEX(validation!$A$2:$A$23,MATCH($D67,validation!$B$2:$B$23,0)),""))</f>
        <v>0</v>
      </c>
    </row>
    <row r="68" spans="4:5" s="5" customFormat="1" ht="18" customHeight="1">
      <c r="D68" s="5">
        <f>IF($E68="","",IFERROR(VLOOKUP($E68,validation!$A$2:$B$23,2,FALSE),""))</f>
        <v>0</v>
      </c>
      <c r="E68" s="5">
        <f>IF($D68="","",IFERROR(INDEX(validation!$A$2:$A$23,MATCH($D68,validation!$B$2:$B$23,0)),""))</f>
        <v>0</v>
      </c>
    </row>
    <row r="69" spans="4:5" s="5" customFormat="1" ht="18" customHeight="1">
      <c r="D69" s="5">
        <f>IF($E69="","",IFERROR(VLOOKUP($E69,validation!$A$2:$B$23,2,FALSE),""))</f>
        <v>0</v>
      </c>
      <c r="E69" s="5">
        <f>IF($D69="","",IFERROR(INDEX(validation!$A$2:$A$23,MATCH($D69,validation!$B$2:$B$23,0)),""))</f>
        <v>0</v>
      </c>
    </row>
    <row r="70" spans="4:5" s="5" customFormat="1" ht="18" customHeight="1">
      <c r="D70" s="5">
        <f>IF($E70="","",IFERROR(VLOOKUP($E70,validation!$A$2:$B$23,2,FALSE),""))</f>
        <v>0</v>
      </c>
      <c r="E70" s="5">
        <f>IF($D70="","",IFERROR(INDEX(validation!$A$2:$A$23,MATCH($D70,validation!$B$2:$B$23,0)),""))</f>
        <v>0</v>
      </c>
    </row>
    <row r="71" spans="4:5" s="5" customFormat="1" ht="18" customHeight="1">
      <c r="D71" s="5">
        <f>IF($E71="","",IFERROR(VLOOKUP($E71,validation!$A$2:$B$23,2,FALSE),""))</f>
        <v>0</v>
      </c>
      <c r="E71" s="5">
        <f>IF($D71="","",IFERROR(INDEX(validation!$A$2:$A$23,MATCH($D71,validation!$B$2:$B$23,0)),""))</f>
        <v>0</v>
      </c>
    </row>
    <row r="72" spans="4:5" s="5" customFormat="1" ht="18" customHeight="1">
      <c r="D72" s="5">
        <f>IF($E72="","",IFERROR(VLOOKUP($E72,validation!$A$2:$B$23,2,FALSE),""))</f>
        <v>0</v>
      </c>
      <c r="E72" s="5">
        <f>IF($D72="","",IFERROR(INDEX(validation!$A$2:$A$23,MATCH($D72,validation!$B$2:$B$23,0)),""))</f>
        <v>0</v>
      </c>
    </row>
    <row r="73" spans="4:5" s="5" customFormat="1" ht="18" customHeight="1">
      <c r="D73" s="5">
        <f>IF($E73="","",IFERROR(VLOOKUP($E73,validation!$A$2:$B$23,2,FALSE),""))</f>
        <v>0</v>
      </c>
      <c r="E73" s="5">
        <f>IF($D73="","",IFERROR(INDEX(validation!$A$2:$A$23,MATCH($D73,validation!$B$2:$B$23,0)),""))</f>
        <v>0</v>
      </c>
    </row>
    <row r="74" spans="4:5" s="5" customFormat="1" ht="18" customHeight="1">
      <c r="D74" s="5">
        <f>IF($E74="","",IFERROR(VLOOKUP($E74,validation!$A$2:$B$23,2,FALSE),""))</f>
        <v>0</v>
      </c>
      <c r="E74" s="5">
        <f>IF($D74="","",IFERROR(INDEX(validation!$A$2:$A$23,MATCH($D74,validation!$B$2:$B$23,0)),""))</f>
        <v>0</v>
      </c>
    </row>
    <row r="75" spans="4:5" s="5" customFormat="1" ht="18" customHeight="1">
      <c r="D75" s="5">
        <f>IF($E75="","",IFERROR(VLOOKUP($E75,validation!$A$2:$B$23,2,FALSE),""))</f>
        <v>0</v>
      </c>
      <c r="E75" s="5">
        <f>IF($D75="","",IFERROR(INDEX(validation!$A$2:$A$23,MATCH($D75,validation!$B$2:$B$23,0)),""))</f>
        <v>0</v>
      </c>
    </row>
    <row r="76" spans="4:5" s="5" customFormat="1" ht="18" customHeight="1">
      <c r="D76" s="5">
        <f>IF($E76="","",IFERROR(VLOOKUP($E76,validation!$A$2:$B$23,2,FALSE),""))</f>
        <v>0</v>
      </c>
      <c r="E76" s="5">
        <f>IF($D76="","",IFERROR(INDEX(validation!$A$2:$A$23,MATCH($D76,validation!$B$2:$B$23,0)),""))</f>
        <v>0</v>
      </c>
    </row>
    <row r="77" spans="4:5" s="5" customFormat="1" ht="18" customHeight="1">
      <c r="D77" s="5">
        <f>IF($E77="","",IFERROR(VLOOKUP($E77,validation!$A$2:$B$23,2,FALSE),""))</f>
        <v>0</v>
      </c>
      <c r="E77" s="5">
        <f>IF($D77="","",IFERROR(INDEX(validation!$A$2:$A$23,MATCH($D77,validation!$B$2:$B$23,0)),""))</f>
        <v>0</v>
      </c>
    </row>
    <row r="78" spans="4:5" s="5" customFormat="1" ht="18" customHeight="1">
      <c r="D78" s="5">
        <f>IF($E78="","",IFERROR(VLOOKUP($E78,validation!$A$2:$B$23,2,FALSE),""))</f>
        <v>0</v>
      </c>
      <c r="E78" s="5">
        <f>IF($D78="","",IFERROR(INDEX(validation!$A$2:$A$23,MATCH($D78,validation!$B$2:$B$23,0)),""))</f>
        <v>0</v>
      </c>
    </row>
    <row r="79" spans="4:5" s="5" customFormat="1" ht="18" customHeight="1">
      <c r="D79" s="5">
        <f>IF($E79="","",IFERROR(VLOOKUP($E79,validation!$A$2:$B$23,2,FALSE),""))</f>
        <v>0</v>
      </c>
      <c r="E79" s="5">
        <f>IF($D79="","",IFERROR(INDEX(validation!$A$2:$A$23,MATCH($D79,validation!$B$2:$B$23,0)),""))</f>
        <v>0</v>
      </c>
    </row>
    <row r="80" spans="4:5" s="5" customFormat="1" ht="18" customHeight="1">
      <c r="D80" s="5">
        <f>IF($E80="","",IFERROR(VLOOKUP($E80,validation!$A$2:$B$23,2,FALSE),""))</f>
        <v>0</v>
      </c>
      <c r="E80" s="5">
        <f>IF($D80="","",IFERROR(INDEX(validation!$A$2:$A$23,MATCH($D80,validation!$B$2:$B$23,0)),""))</f>
        <v>0</v>
      </c>
    </row>
    <row r="81" spans="4:5" s="5" customFormat="1" ht="18" customHeight="1">
      <c r="D81" s="5">
        <f>IF($E81="","",IFERROR(VLOOKUP($E81,validation!$A$2:$B$23,2,FALSE),""))</f>
        <v>0</v>
      </c>
      <c r="E81" s="5">
        <f>IF($D81="","",IFERROR(INDEX(validation!$A$2:$A$23,MATCH($D81,validation!$B$2:$B$23,0)),""))</f>
        <v>0</v>
      </c>
    </row>
    <row r="82" spans="4:5" s="5" customFormat="1" ht="18" customHeight="1">
      <c r="D82" s="5">
        <f>IF($E82="","",IFERROR(VLOOKUP($E82,validation!$A$2:$B$23,2,FALSE),""))</f>
        <v>0</v>
      </c>
      <c r="E82" s="5">
        <f>IF($D82="","",IFERROR(INDEX(validation!$A$2:$A$23,MATCH($D82,validation!$B$2:$B$23,0)),""))</f>
        <v>0</v>
      </c>
    </row>
    <row r="83" spans="4:5" s="5" customFormat="1" ht="18" customHeight="1">
      <c r="D83" s="5">
        <f>IF($E83="","",IFERROR(VLOOKUP($E83,validation!$A$2:$B$23,2,FALSE),""))</f>
        <v>0</v>
      </c>
      <c r="E83" s="5">
        <f>IF($D83="","",IFERROR(INDEX(validation!$A$2:$A$23,MATCH($D83,validation!$B$2:$B$23,0)),""))</f>
        <v>0</v>
      </c>
    </row>
    <row r="84" spans="4:5" s="5" customFormat="1" ht="18" customHeight="1">
      <c r="D84" s="5">
        <f>IF($E84="","",IFERROR(VLOOKUP($E84,validation!$A$2:$B$23,2,FALSE),""))</f>
        <v>0</v>
      </c>
      <c r="E84" s="5">
        <f>IF($D84="","",IFERROR(INDEX(validation!$A$2:$A$23,MATCH($D84,validation!$B$2:$B$23,0)),""))</f>
        <v>0</v>
      </c>
    </row>
    <row r="85" spans="4:5" s="5" customFormat="1" ht="18" customHeight="1">
      <c r="D85" s="5">
        <f>IF($E85="","",IFERROR(VLOOKUP($E85,validation!$A$2:$B$23,2,FALSE),""))</f>
        <v>0</v>
      </c>
      <c r="E85" s="5">
        <f>IF($D85="","",IFERROR(INDEX(validation!$A$2:$A$23,MATCH($D85,validation!$B$2:$B$23,0)),""))</f>
        <v>0</v>
      </c>
    </row>
    <row r="86" spans="4:5" s="5" customFormat="1" ht="18" customHeight="1">
      <c r="D86" s="5">
        <f>IF($E86="","",IFERROR(VLOOKUP($E86,validation!$A$2:$B$23,2,FALSE),""))</f>
        <v>0</v>
      </c>
      <c r="E86" s="5">
        <f>IF($D86="","",IFERROR(INDEX(validation!$A$2:$A$23,MATCH($D86,validation!$B$2:$B$23,0)),""))</f>
        <v>0</v>
      </c>
    </row>
    <row r="87" spans="4:5" s="5" customFormat="1" ht="18" customHeight="1">
      <c r="D87" s="5">
        <f>IF($E87="","",IFERROR(VLOOKUP($E87,validation!$A$2:$B$23,2,FALSE),""))</f>
        <v>0</v>
      </c>
      <c r="E87" s="5">
        <f>IF($D87="","",IFERROR(INDEX(validation!$A$2:$A$23,MATCH($D87,validation!$B$2:$B$23,0)),""))</f>
        <v>0</v>
      </c>
    </row>
    <row r="88" spans="4:5" s="5" customFormat="1" ht="18" customHeight="1">
      <c r="D88" s="5">
        <f>IF($E88="","",IFERROR(VLOOKUP($E88,validation!$A$2:$B$23,2,FALSE),""))</f>
        <v>0</v>
      </c>
      <c r="E88" s="5">
        <f>IF($D88="","",IFERROR(INDEX(validation!$A$2:$A$23,MATCH($D88,validation!$B$2:$B$23,0)),""))</f>
        <v>0</v>
      </c>
    </row>
    <row r="89" spans="4:5" s="5" customFormat="1" ht="18" customHeight="1">
      <c r="D89" s="5">
        <f>IF($E89="","",IFERROR(VLOOKUP($E89,validation!$A$2:$B$23,2,FALSE),""))</f>
        <v>0</v>
      </c>
      <c r="E89" s="5">
        <f>IF($D89="","",IFERROR(INDEX(validation!$A$2:$A$23,MATCH($D89,validation!$B$2:$B$23,0)),""))</f>
        <v>0</v>
      </c>
    </row>
    <row r="90" spans="4:5" s="5" customFormat="1" ht="18" customHeight="1">
      <c r="D90" s="5">
        <f>IF($E90="","",IFERROR(VLOOKUP($E90,validation!$A$2:$B$23,2,FALSE),""))</f>
        <v>0</v>
      </c>
      <c r="E90" s="5">
        <f>IF($D90="","",IFERROR(INDEX(validation!$A$2:$A$23,MATCH($D90,validation!$B$2:$B$23,0)),""))</f>
        <v>0</v>
      </c>
    </row>
    <row r="91" spans="4:5" s="5" customFormat="1" ht="18" customHeight="1">
      <c r="D91" s="5">
        <f>IF($E91="","",IFERROR(VLOOKUP($E91,validation!$A$2:$B$23,2,FALSE),""))</f>
        <v>0</v>
      </c>
      <c r="E91" s="5">
        <f>IF($D91="","",IFERROR(INDEX(validation!$A$2:$A$23,MATCH($D91,validation!$B$2:$B$23,0)),""))</f>
        <v>0</v>
      </c>
    </row>
    <row r="92" spans="4:5" s="5" customFormat="1" ht="18" customHeight="1">
      <c r="D92" s="5">
        <f>IF($E92="","",IFERROR(VLOOKUP($E92,validation!$A$2:$B$23,2,FALSE),""))</f>
        <v>0</v>
      </c>
      <c r="E92" s="5">
        <f>IF($D92="","",IFERROR(INDEX(validation!$A$2:$A$23,MATCH($D92,validation!$B$2:$B$23,0)),""))</f>
        <v>0</v>
      </c>
    </row>
    <row r="93" spans="4:5" s="5" customFormat="1" ht="18" customHeight="1">
      <c r="D93" s="5">
        <f>IF($E93="","",IFERROR(VLOOKUP($E93,validation!$A$2:$B$23,2,FALSE),""))</f>
        <v>0</v>
      </c>
      <c r="E93" s="5">
        <f>IF($D93="","",IFERROR(INDEX(validation!$A$2:$A$23,MATCH($D93,validation!$B$2:$B$23,0)),""))</f>
        <v>0</v>
      </c>
    </row>
    <row r="94" spans="4:5" s="5" customFormat="1" ht="18" customHeight="1">
      <c r="D94" s="5">
        <f>IF($E94="","",IFERROR(VLOOKUP($E94,validation!$A$2:$B$23,2,FALSE),""))</f>
        <v>0</v>
      </c>
      <c r="E94" s="5">
        <f>IF($D94="","",IFERROR(INDEX(validation!$A$2:$A$23,MATCH($D94,validation!$B$2:$B$23,0)),""))</f>
        <v>0</v>
      </c>
    </row>
    <row r="95" spans="4:5" s="5" customFormat="1" ht="18" customHeight="1">
      <c r="D95" s="5">
        <f>IF($E95="","",IFERROR(VLOOKUP($E95,validation!$A$2:$B$23,2,FALSE),""))</f>
        <v>0</v>
      </c>
      <c r="E95" s="5">
        <f>IF($D95="","",IFERROR(INDEX(validation!$A$2:$A$23,MATCH($D95,validation!$B$2:$B$23,0)),""))</f>
        <v>0</v>
      </c>
    </row>
    <row r="96" spans="4:5" s="5" customFormat="1" ht="18" customHeight="1">
      <c r="D96" s="5">
        <f>IF($E96="","",IFERROR(VLOOKUP($E96,validation!$A$2:$B$23,2,FALSE),""))</f>
        <v>0</v>
      </c>
      <c r="E96" s="5">
        <f>IF($D96="","",IFERROR(INDEX(validation!$A$2:$A$23,MATCH($D96,validation!$B$2:$B$23,0)),""))</f>
        <v>0</v>
      </c>
    </row>
    <row r="97" spans="4:5" s="5" customFormat="1" ht="18" customHeight="1">
      <c r="D97" s="5">
        <f>IF($E97="","",IFERROR(VLOOKUP($E97,validation!$A$2:$B$23,2,FALSE),""))</f>
        <v>0</v>
      </c>
      <c r="E97" s="5">
        <f>IF($D97="","",IFERROR(INDEX(validation!$A$2:$A$23,MATCH($D97,validation!$B$2:$B$23,0)),""))</f>
        <v>0</v>
      </c>
    </row>
    <row r="98" spans="4:5" s="5" customFormat="1" ht="18" customHeight="1">
      <c r="D98" s="5">
        <f>IF($E98="","",IFERROR(VLOOKUP($E98,validation!$A$2:$B$23,2,FALSE),""))</f>
        <v>0</v>
      </c>
      <c r="E98" s="5">
        <f>IF($D98="","",IFERROR(INDEX(validation!$A$2:$A$23,MATCH($D98,validation!$B$2:$B$23,0)),""))</f>
        <v>0</v>
      </c>
    </row>
    <row r="99" spans="4:5" s="5" customFormat="1" ht="18" customHeight="1">
      <c r="D99" s="5">
        <f>IF($E99="","",IFERROR(VLOOKUP($E99,validation!$A$2:$B$23,2,FALSE),""))</f>
        <v>0</v>
      </c>
      <c r="E99" s="5">
        <f>IF($D99="","",IFERROR(INDEX(validation!$A$2:$A$23,MATCH($D99,validation!$B$2:$B$23,0)),""))</f>
        <v>0</v>
      </c>
    </row>
    <row r="100" spans="4:5" s="5" customFormat="1" ht="18" customHeight="1">
      <c r="D100" s="5">
        <f>IF($E100="","",IFERROR(VLOOKUP($E100,validation!$A$2:$B$23,2,FALSE),""))</f>
        <v>0</v>
      </c>
      <c r="E100" s="5">
        <f>IF($D100="","",IFERROR(INDEX(validation!$A$2:$A$23,MATCH($D100,validation!$B$2:$B$23,0)),""))</f>
        <v>0</v>
      </c>
    </row>
    <row r="101" spans="4:5" s="5" customFormat="1" ht="18" customHeight="1">
      <c r="D101" s="5">
        <f>IF($E101="","",IFERROR(VLOOKUP($E101,validation!$A$2:$B$23,2,FALSE),""))</f>
        <v>0</v>
      </c>
      <c r="E101" s="5">
        <f>IF($D101="","",IFERROR(INDEX(validation!$A$2:$A$23,MATCH($D101,validation!$B$2:$B$23,0)),""))</f>
        <v>0</v>
      </c>
    </row>
    <row r="102" spans="4:5" s="5" customFormat="1" ht="18" customHeight="1">
      <c r="D102" s="5">
        <f>IF($E102="","",IFERROR(VLOOKUP($E102,validation!$A$2:$B$23,2,FALSE),""))</f>
        <v>0</v>
      </c>
      <c r="E102" s="5">
        <f>IF($D102="","",IFERROR(INDEX(validation!$A$2:$A$23,MATCH($D102,validation!$B$2:$B$23,0)),""))</f>
        <v>0</v>
      </c>
    </row>
    <row r="103" spans="4:5" s="5" customFormat="1" ht="18" customHeight="1">
      <c r="D103" s="5">
        <f>IF($E103="","",IFERROR(VLOOKUP($E103,validation!$A$2:$B$23,2,FALSE),""))</f>
        <v>0</v>
      </c>
      <c r="E103" s="5">
        <f>IF($D103="","",IFERROR(INDEX(validation!$A$2:$A$23,MATCH($D103,validation!$B$2:$B$23,0)),""))</f>
        <v>0</v>
      </c>
    </row>
    <row r="104" spans="4:5" s="5" customFormat="1" ht="18" customHeight="1">
      <c r="D104" s="5">
        <f>IF($E104="","",IFERROR(VLOOKUP($E104,validation!$A$2:$B$23,2,FALSE),""))</f>
        <v>0</v>
      </c>
      <c r="E104" s="5">
        <f>IF($D104="","",IFERROR(INDEX(validation!$A$2:$A$23,MATCH($D104,validation!$B$2:$B$23,0)),""))</f>
        <v>0</v>
      </c>
    </row>
    <row r="105" spans="4:5" s="5" customFormat="1" ht="18" customHeight="1">
      <c r="D105" s="5">
        <f>IF($E105="","",IFERROR(VLOOKUP($E105,validation!$A$2:$B$23,2,FALSE),""))</f>
        <v>0</v>
      </c>
      <c r="E105" s="5">
        <f>IF($D105="","",IFERROR(INDEX(validation!$A$2:$A$23,MATCH($D105,validation!$B$2:$B$23,0)),""))</f>
        <v>0</v>
      </c>
    </row>
    <row r="106" spans="4:5" s="5" customFormat="1" ht="18" customHeight="1">
      <c r="D106" s="5">
        <f>IF($E106="","",IFERROR(VLOOKUP($E106,validation!$A$2:$B$23,2,FALSE),""))</f>
        <v>0</v>
      </c>
      <c r="E106" s="5">
        <f>IF($D106="","",IFERROR(INDEX(validation!$A$2:$A$23,MATCH($D106,validation!$B$2:$B$23,0)),""))</f>
        <v>0</v>
      </c>
    </row>
    <row r="107" spans="4:5" s="5" customFormat="1" ht="18" customHeight="1">
      <c r="D107" s="5">
        <f>IF($E107="","",IFERROR(VLOOKUP($E107,validation!$A$2:$B$23,2,FALSE),""))</f>
        <v>0</v>
      </c>
      <c r="E107" s="5">
        <f>IF($D107="","",IFERROR(INDEX(validation!$A$2:$A$23,MATCH($D107,validation!$B$2:$B$23,0)),""))</f>
        <v>0</v>
      </c>
    </row>
    <row r="108" spans="4:5" s="5" customFormat="1" ht="18" customHeight="1">
      <c r="D108" s="5">
        <f>IF($E108="","",IFERROR(VLOOKUP($E108,validation!$A$2:$B$23,2,FALSE),""))</f>
        <v>0</v>
      </c>
      <c r="E108" s="5">
        <f>IF($D108="","",IFERROR(INDEX(validation!$A$2:$A$23,MATCH($D108,validation!$B$2:$B$23,0)),""))</f>
        <v>0</v>
      </c>
    </row>
    <row r="109" spans="4:5" s="5" customFormat="1" ht="18" customHeight="1">
      <c r="D109" s="5">
        <f>IF($E109="","",IFERROR(VLOOKUP($E109,validation!$A$2:$B$23,2,FALSE),""))</f>
        <v>0</v>
      </c>
      <c r="E109" s="5">
        <f>IF($D109="","",IFERROR(INDEX(validation!$A$2:$A$23,MATCH($D109,validation!$B$2:$B$23,0)),""))</f>
        <v>0</v>
      </c>
    </row>
    <row r="110" spans="4:5" s="5" customFormat="1" ht="18" customHeight="1">
      <c r="D110" s="5">
        <f>IF($E110="","",IFERROR(VLOOKUP($E110,validation!$A$2:$B$23,2,FALSE),""))</f>
        <v>0</v>
      </c>
      <c r="E110" s="5">
        <f>IF($D110="","",IFERROR(INDEX(validation!$A$2:$A$23,MATCH($D110,validation!$B$2:$B$23,0)),""))</f>
        <v>0</v>
      </c>
    </row>
    <row r="111" spans="4:5" s="5" customFormat="1" ht="18" customHeight="1">
      <c r="D111" s="5">
        <f>IF($E111="","",IFERROR(VLOOKUP($E111,validation!$A$2:$B$23,2,FALSE),""))</f>
        <v>0</v>
      </c>
      <c r="E111" s="5">
        <f>IF($D111="","",IFERROR(INDEX(validation!$A$2:$A$23,MATCH($D111,validation!$B$2:$B$23,0)),""))</f>
        <v>0</v>
      </c>
    </row>
    <row r="112" spans="4:5" s="5" customFormat="1" ht="18" customHeight="1">
      <c r="D112" s="5">
        <f>IF($E112="","",IFERROR(VLOOKUP($E112,validation!$A$2:$B$23,2,FALSE),""))</f>
        <v>0</v>
      </c>
      <c r="E112" s="5">
        <f>IF($D112="","",IFERROR(INDEX(validation!$A$2:$A$23,MATCH($D112,validation!$B$2:$B$23,0)),""))</f>
        <v>0</v>
      </c>
    </row>
    <row r="113" spans="4:5" s="5" customFormat="1" ht="18" customHeight="1">
      <c r="D113" s="5">
        <f>IF($E113="","",IFERROR(VLOOKUP($E113,validation!$A$2:$B$23,2,FALSE),""))</f>
        <v>0</v>
      </c>
      <c r="E113" s="5">
        <f>IF($D113="","",IFERROR(INDEX(validation!$A$2:$A$23,MATCH($D113,validation!$B$2:$B$23,0)),""))</f>
        <v>0</v>
      </c>
    </row>
    <row r="114" spans="4:5" s="5" customFormat="1" ht="18" customHeight="1">
      <c r="D114" s="5">
        <f>IF($E114="","",IFERROR(VLOOKUP($E114,validation!$A$2:$B$23,2,FALSE),""))</f>
        <v>0</v>
      </c>
      <c r="E114" s="5">
        <f>IF($D114="","",IFERROR(INDEX(validation!$A$2:$A$23,MATCH($D114,validation!$B$2:$B$23,0)),""))</f>
        <v>0</v>
      </c>
    </row>
    <row r="115" spans="4:5" s="5" customFormat="1" ht="18" customHeight="1">
      <c r="D115" s="5">
        <f>IF($E115="","",IFERROR(VLOOKUP($E115,validation!$A$2:$B$23,2,FALSE),""))</f>
        <v>0</v>
      </c>
      <c r="E115" s="5">
        <f>IF($D115="","",IFERROR(INDEX(validation!$A$2:$A$23,MATCH($D115,validation!$B$2:$B$23,0)),""))</f>
        <v>0</v>
      </c>
    </row>
    <row r="116" spans="4:5" s="5" customFormat="1" ht="18" customHeight="1">
      <c r="D116" s="5">
        <f>IF($E116="","",IFERROR(VLOOKUP($E116,validation!$A$2:$B$23,2,FALSE),""))</f>
        <v>0</v>
      </c>
      <c r="E116" s="5">
        <f>IF($D116="","",IFERROR(INDEX(validation!$A$2:$A$23,MATCH($D116,validation!$B$2:$B$23,0)),""))</f>
        <v>0</v>
      </c>
    </row>
    <row r="117" spans="4:5" s="5" customFormat="1" ht="18" customHeight="1">
      <c r="D117" s="5">
        <f>IF($E117="","",IFERROR(VLOOKUP($E117,validation!$A$2:$B$23,2,FALSE),""))</f>
        <v>0</v>
      </c>
      <c r="E117" s="5">
        <f>IF($D117="","",IFERROR(INDEX(validation!$A$2:$A$23,MATCH($D117,validation!$B$2:$B$23,0)),""))</f>
        <v>0</v>
      </c>
    </row>
    <row r="118" spans="4:5" s="5" customFormat="1" ht="18" customHeight="1">
      <c r="D118" s="5">
        <f>IF($E118="","",IFERROR(VLOOKUP($E118,validation!$A$2:$B$23,2,FALSE),""))</f>
        <v>0</v>
      </c>
      <c r="E118" s="5">
        <f>IF($D118="","",IFERROR(INDEX(validation!$A$2:$A$23,MATCH($D118,validation!$B$2:$B$23,0)),""))</f>
        <v>0</v>
      </c>
    </row>
    <row r="119" spans="4:5" s="5" customFormat="1" ht="18" customHeight="1">
      <c r="D119" s="5">
        <f>IF($E119="","",IFERROR(VLOOKUP($E119,validation!$A$2:$B$23,2,FALSE),""))</f>
        <v>0</v>
      </c>
      <c r="E119" s="5">
        <f>IF($D119="","",IFERROR(INDEX(validation!$A$2:$A$23,MATCH($D119,validation!$B$2:$B$23,0)),""))</f>
        <v>0</v>
      </c>
    </row>
    <row r="120" spans="4:5" s="5" customFormat="1" ht="18" customHeight="1">
      <c r="D120" s="5">
        <f>IF($E120="","",IFERROR(VLOOKUP($E120,validation!$A$2:$B$23,2,FALSE),""))</f>
        <v>0</v>
      </c>
      <c r="E120" s="5">
        <f>IF($D120="","",IFERROR(INDEX(validation!$A$2:$A$23,MATCH($D120,validation!$B$2:$B$23,0)),""))</f>
        <v>0</v>
      </c>
    </row>
    <row r="121" spans="4:5" s="5" customFormat="1" ht="18" customHeight="1">
      <c r="D121" s="5">
        <f>IF($E121="","",IFERROR(VLOOKUP($E121,validation!$A$2:$B$23,2,FALSE),""))</f>
        <v>0</v>
      </c>
      <c r="E121" s="5">
        <f>IF($D121="","",IFERROR(INDEX(validation!$A$2:$A$23,MATCH($D121,validation!$B$2:$B$23,0)),""))</f>
        <v>0</v>
      </c>
    </row>
    <row r="122" spans="4:5" s="5" customFormat="1" ht="18" customHeight="1">
      <c r="D122" s="5">
        <f>IF($E122="","",IFERROR(VLOOKUP($E122,validation!$A$2:$B$23,2,FALSE),""))</f>
        <v>0</v>
      </c>
      <c r="E122" s="5">
        <f>IF($D122="","",IFERROR(INDEX(validation!$A$2:$A$23,MATCH($D122,validation!$B$2:$B$23,0)),""))</f>
        <v>0</v>
      </c>
    </row>
    <row r="123" spans="4:5" s="5" customFormat="1" ht="18" customHeight="1">
      <c r="D123" s="5">
        <f>IF($E123="","",IFERROR(VLOOKUP($E123,validation!$A$2:$B$23,2,FALSE),""))</f>
        <v>0</v>
      </c>
      <c r="E123" s="5">
        <f>IF($D123="","",IFERROR(INDEX(validation!$A$2:$A$23,MATCH($D123,validation!$B$2:$B$23,0)),""))</f>
        <v>0</v>
      </c>
    </row>
    <row r="124" spans="4:5" s="5" customFormat="1" ht="18" customHeight="1">
      <c r="D124" s="5">
        <f>IF($E124="","",IFERROR(VLOOKUP($E124,validation!$A$2:$B$23,2,FALSE),""))</f>
        <v>0</v>
      </c>
      <c r="E124" s="5">
        <f>IF($D124="","",IFERROR(INDEX(validation!$A$2:$A$23,MATCH($D124,validation!$B$2:$B$23,0)),""))</f>
        <v>0</v>
      </c>
    </row>
    <row r="125" spans="4:5" s="5" customFormat="1" ht="18" customHeight="1">
      <c r="D125" s="5">
        <f>IF($E125="","",IFERROR(VLOOKUP($E125,validation!$A$2:$B$23,2,FALSE),""))</f>
        <v>0</v>
      </c>
      <c r="E125" s="5">
        <f>IF($D125="","",IFERROR(INDEX(validation!$A$2:$A$23,MATCH($D125,validation!$B$2:$B$23,0)),""))</f>
        <v>0</v>
      </c>
    </row>
    <row r="126" spans="4:5" s="5" customFormat="1" ht="18" customHeight="1">
      <c r="D126" s="5">
        <f>IF($E126="","",IFERROR(VLOOKUP($E126,validation!$A$2:$B$23,2,FALSE),""))</f>
        <v>0</v>
      </c>
      <c r="E126" s="5">
        <f>IF($D126="","",IFERROR(INDEX(validation!$A$2:$A$23,MATCH($D126,validation!$B$2:$B$23,0)),""))</f>
        <v>0</v>
      </c>
    </row>
    <row r="127" spans="4:5" s="5" customFormat="1" ht="18" customHeight="1">
      <c r="D127" s="5">
        <f>IF($E127="","",IFERROR(VLOOKUP($E127,validation!$A$2:$B$23,2,FALSE),""))</f>
        <v>0</v>
      </c>
      <c r="E127" s="5">
        <f>IF($D127="","",IFERROR(INDEX(validation!$A$2:$A$23,MATCH($D127,validation!$B$2:$B$23,0)),""))</f>
        <v>0</v>
      </c>
    </row>
    <row r="128" spans="4:5" s="5" customFormat="1" ht="18" customHeight="1">
      <c r="D128" s="5">
        <f>IF($E128="","",IFERROR(VLOOKUP($E128,validation!$A$2:$B$23,2,FALSE),""))</f>
        <v>0</v>
      </c>
      <c r="E128" s="5">
        <f>IF($D128="","",IFERROR(INDEX(validation!$A$2:$A$23,MATCH($D128,validation!$B$2:$B$23,0)),""))</f>
        <v>0</v>
      </c>
    </row>
    <row r="129" spans="4:5" s="5" customFormat="1" ht="18" customHeight="1">
      <c r="D129" s="5">
        <f>IF($E129="","",IFERROR(VLOOKUP($E129,validation!$A$2:$B$23,2,FALSE),""))</f>
        <v>0</v>
      </c>
      <c r="E129" s="5">
        <f>IF($D129="","",IFERROR(INDEX(validation!$A$2:$A$23,MATCH($D129,validation!$B$2:$B$23,0)),""))</f>
        <v>0</v>
      </c>
    </row>
    <row r="130" spans="4:5" s="5" customFormat="1" ht="18" customHeight="1">
      <c r="D130" s="5">
        <f>IF($E130="","",IFERROR(VLOOKUP($E130,validation!$A$2:$B$23,2,FALSE),""))</f>
        <v>0</v>
      </c>
      <c r="E130" s="5">
        <f>IF($D130="","",IFERROR(INDEX(validation!$A$2:$A$23,MATCH($D130,validation!$B$2:$B$23,0)),""))</f>
        <v>0</v>
      </c>
    </row>
    <row r="131" spans="4:5" s="5" customFormat="1" ht="18" customHeight="1">
      <c r="D131" s="5">
        <f>IF($E131="","",IFERROR(VLOOKUP($E131,validation!$A$2:$B$23,2,FALSE),""))</f>
        <v>0</v>
      </c>
      <c r="E131" s="5">
        <f>IF($D131="","",IFERROR(INDEX(validation!$A$2:$A$23,MATCH($D131,validation!$B$2:$B$23,0)),""))</f>
        <v>0</v>
      </c>
    </row>
    <row r="132" spans="4:5" s="5" customFormat="1" ht="18" customHeight="1">
      <c r="D132" s="5">
        <f>IF($E132="","",IFERROR(VLOOKUP($E132,validation!$A$2:$B$23,2,FALSE),""))</f>
        <v>0</v>
      </c>
      <c r="E132" s="5">
        <f>IF($D132="","",IFERROR(INDEX(validation!$A$2:$A$23,MATCH($D132,validation!$B$2:$B$23,0)),""))</f>
        <v>0</v>
      </c>
    </row>
    <row r="133" spans="4:5" s="5" customFormat="1" ht="18" customHeight="1">
      <c r="D133" s="5">
        <f>IF($E133="","",IFERROR(VLOOKUP($E133,validation!$A$2:$B$23,2,FALSE),""))</f>
        <v>0</v>
      </c>
      <c r="E133" s="5">
        <f>IF($D133="","",IFERROR(INDEX(validation!$A$2:$A$23,MATCH($D133,validation!$B$2:$B$23,0)),""))</f>
        <v>0</v>
      </c>
    </row>
    <row r="134" spans="4:5" s="5" customFormat="1" ht="18" customHeight="1">
      <c r="D134" s="5">
        <f>IF($E134="","",IFERROR(VLOOKUP($E134,validation!$A$2:$B$23,2,FALSE),""))</f>
        <v>0</v>
      </c>
      <c r="E134" s="5">
        <f>IF($D134="","",IFERROR(INDEX(validation!$A$2:$A$23,MATCH($D134,validation!$B$2:$B$23,0)),""))</f>
        <v>0</v>
      </c>
    </row>
    <row r="135" spans="4:5" s="5" customFormat="1" ht="18" customHeight="1">
      <c r="D135" s="5">
        <f>IF($E135="","",IFERROR(VLOOKUP($E135,validation!$A$2:$B$23,2,FALSE),""))</f>
        <v>0</v>
      </c>
      <c r="E135" s="5">
        <f>IF($D135="","",IFERROR(INDEX(validation!$A$2:$A$23,MATCH($D135,validation!$B$2:$B$23,0)),""))</f>
        <v>0</v>
      </c>
    </row>
    <row r="136" spans="4:5" s="5" customFormat="1" ht="18" customHeight="1">
      <c r="D136" s="5">
        <f>IF($E136="","",IFERROR(VLOOKUP($E136,validation!$A$2:$B$23,2,FALSE),""))</f>
        <v>0</v>
      </c>
      <c r="E136" s="5">
        <f>IF($D136="","",IFERROR(INDEX(validation!$A$2:$A$23,MATCH($D136,validation!$B$2:$B$23,0)),""))</f>
        <v>0</v>
      </c>
    </row>
    <row r="137" spans="4:5" s="5" customFormat="1" ht="18" customHeight="1">
      <c r="D137" s="5">
        <f>IF($E137="","",IFERROR(VLOOKUP($E137,validation!$A$2:$B$23,2,FALSE),""))</f>
        <v>0</v>
      </c>
      <c r="E137" s="5">
        <f>IF($D137="","",IFERROR(INDEX(validation!$A$2:$A$23,MATCH($D137,validation!$B$2:$B$23,0)),""))</f>
        <v>0</v>
      </c>
    </row>
    <row r="138" spans="4:5" s="5" customFormat="1" ht="18" customHeight="1">
      <c r="D138" s="5">
        <f>IF($E138="","",IFERROR(VLOOKUP($E138,validation!$A$2:$B$23,2,FALSE),""))</f>
        <v>0</v>
      </c>
      <c r="E138" s="5">
        <f>IF($D138="","",IFERROR(INDEX(validation!$A$2:$A$23,MATCH($D138,validation!$B$2:$B$23,0)),""))</f>
        <v>0</v>
      </c>
    </row>
    <row r="139" spans="4:5" s="5" customFormat="1" ht="18" customHeight="1">
      <c r="D139" s="5">
        <f>IF($E139="","",IFERROR(VLOOKUP($E139,validation!$A$2:$B$23,2,FALSE),""))</f>
        <v>0</v>
      </c>
      <c r="E139" s="5">
        <f>IF($D139="","",IFERROR(INDEX(validation!$A$2:$A$23,MATCH($D139,validation!$B$2:$B$23,0)),""))</f>
        <v>0</v>
      </c>
    </row>
    <row r="140" spans="4:5" s="5" customFormat="1" ht="18" customHeight="1">
      <c r="D140" s="5">
        <f>IF($E140="","",IFERROR(VLOOKUP($E140,validation!$A$2:$B$23,2,FALSE),""))</f>
        <v>0</v>
      </c>
      <c r="E140" s="5">
        <f>IF($D140="","",IFERROR(INDEX(validation!$A$2:$A$23,MATCH($D140,validation!$B$2:$B$23,0)),""))</f>
        <v>0</v>
      </c>
    </row>
    <row r="141" spans="4:5" s="5" customFormat="1" ht="18" customHeight="1">
      <c r="D141" s="5">
        <f>IF($E141="","",IFERROR(VLOOKUP($E141,validation!$A$2:$B$23,2,FALSE),""))</f>
        <v>0</v>
      </c>
      <c r="E141" s="5">
        <f>IF($D141="","",IFERROR(INDEX(validation!$A$2:$A$23,MATCH($D141,validation!$B$2:$B$23,0)),""))</f>
        <v>0</v>
      </c>
    </row>
    <row r="142" spans="4:5" s="5" customFormat="1" ht="18" customHeight="1">
      <c r="D142" s="5">
        <f>IF($E142="","",IFERROR(VLOOKUP($E142,validation!$A$2:$B$23,2,FALSE),""))</f>
        <v>0</v>
      </c>
      <c r="E142" s="5">
        <f>IF($D142="","",IFERROR(INDEX(validation!$A$2:$A$23,MATCH($D142,validation!$B$2:$B$23,0)),""))</f>
        <v>0</v>
      </c>
    </row>
    <row r="143" spans="4:5" s="5" customFormat="1" ht="18" customHeight="1">
      <c r="D143" s="5">
        <f>IF($E143="","",IFERROR(VLOOKUP($E143,validation!$A$2:$B$23,2,FALSE),""))</f>
        <v>0</v>
      </c>
      <c r="E143" s="5">
        <f>IF($D143="","",IFERROR(INDEX(validation!$A$2:$A$23,MATCH($D143,validation!$B$2:$B$23,0)),""))</f>
        <v>0</v>
      </c>
    </row>
    <row r="144" spans="4:5" s="5" customFormat="1" ht="18" customHeight="1">
      <c r="D144" s="5">
        <f>IF($E144="","",IFERROR(VLOOKUP($E144,validation!$A$2:$B$23,2,FALSE),""))</f>
        <v>0</v>
      </c>
      <c r="E144" s="5">
        <f>IF($D144="","",IFERROR(INDEX(validation!$A$2:$A$23,MATCH($D144,validation!$B$2:$B$23,0)),""))</f>
        <v>0</v>
      </c>
    </row>
    <row r="145" spans="4:5" s="5" customFormat="1" ht="18" customHeight="1">
      <c r="D145" s="5">
        <f>IF($E145="","",IFERROR(VLOOKUP($E145,validation!$A$2:$B$23,2,FALSE),""))</f>
        <v>0</v>
      </c>
      <c r="E145" s="5">
        <f>IF($D145="","",IFERROR(INDEX(validation!$A$2:$A$23,MATCH($D145,validation!$B$2:$B$23,0)),""))</f>
        <v>0</v>
      </c>
    </row>
    <row r="146" spans="4:5" s="5" customFormat="1" ht="18" customHeight="1">
      <c r="D146" s="5">
        <f>IF($E146="","",IFERROR(VLOOKUP($E146,validation!$A$2:$B$23,2,FALSE),""))</f>
        <v>0</v>
      </c>
      <c r="E146" s="5">
        <f>IF($D146="","",IFERROR(INDEX(validation!$A$2:$A$23,MATCH($D146,validation!$B$2:$B$23,0)),""))</f>
        <v>0</v>
      </c>
    </row>
    <row r="147" spans="4:5" s="5" customFormat="1" ht="18" customHeight="1">
      <c r="D147" s="5">
        <f>IF($E147="","",IFERROR(VLOOKUP($E147,validation!$A$2:$B$23,2,FALSE),""))</f>
        <v>0</v>
      </c>
      <c r="E147" s="5">
        <f>IF($D147="","",IFERROR(INDEX(validation!$A$2:$A$23,MATCH($D147,validation!$B$2:$B$23,0)),""))</f>
        <v>0</v>
      </c>
    </row>
    <row r="148" spans="4:5" s="5" customFormat="1" ht="18" customHeight="1">
      <c r="D148" s="5">
        <f>IF($E148="","",IFERROR(VLOOKUP($E148,validation!$A$2:$B$23,2,FALSE),""))</f>
        <v>0</v>
      </c>
      <c r="E148" s="5">
        <f>IF($D148="","",IFERROR(INDEX(validation!$A$2:$A$23,MATCH($D148,validation!$B$2:$B$23,0)),""))</f>
        <v>0</v>
      </c>
    </row>
    <row r="149" spans="4:5" s="5" customFormat="1" ht="18" customHeight="1">
      <c r="D149" s="5">
        <f>IF($E149="","",IFERROR(VLOOKUP($E149,validation!$A$2:$B$23,2,FALSE),""))</f>
        <v>0</v>
      </c>
      <c r="E149" s="5">
        <f>IF($D149="","",IFERROR(INDEX(validation!$A$2:$A$23,MATCH($D149,validation!$B$2:$B$23,0)),""))</f>
        <v>0</v>
      </c>
    </row>
    <row r="150" spans="4:5" s="5" customFormat="1" ht="18" customHeight="1">
      <c r="D150" s="5">
        <f>IF($E150="","",IFERROR(VLOOKUP($E150,validation!$A$2:$B$23,2,FALSE),""))</f>
        <v>0</v>
      </c>
      <c r="E150" s="5">
        <f>IF($D150="","",IFERROR(INDEX(validation!$A$2:$A$23,MATCH($D150,validation!$B$2:$B$23,0)),""))</f>
        <v>0</v>
      </c>
    </row>
    <row r="151" spans="4:5" s="5" customFormat="1" ht="18" customHeight="1">
      <c r="D151" s="5">
        <f>IF($E151="","",IFERROR(VLOOKUP($E151,validation!$A$2:$B$23,2,FALSE),""))</f>
        <v>0</v>
      </c>
      <c r="E151" s="5">
        <f>IF($D151="","",IFERROR(INDEX(validation!$A$2:$A$23,MATCH($D151,validation!$B$2:$B$23,0)),""))</f>
        <v>0</v>
      </c>
    </row>
    <row r="152" spans="4:5" s="5" customFormat="1" ht="18" customHeight="1">
      <c r="D152" s="5">
        <f>IF($E152="","",IFERROR(VLOOKUP($E152,validation!$A$2:$B$23,2,FALSE),""))</f>
        <v>0</v>
      </c>
      <c r="E152" s="5">
        <f>IF($D152="","",IFERROR(INDEX(validation!$A$2:$A$23,MATCH($D152,validation!$B$2:$B$23,0)),""))</f>
        <v>0</v>
      </c>
    </row>
    <row r="153" spans="4:5" s="5" customFormat="1" ht="18" customHeight="1">
      <c r="D153" s="5">
        <f>IF($E153="","",IFERROR(VLOOKUP($E153,validation!$A$2:$B$23,2,FALSE),""))</f>
        <v>0</v>
      </c>
      <c r="E153" s="5">
        <f>IF($D153="","",IFERROR(INDEX(validation!$A$2:$A$23,MATCH($D153,validation!$B$2:$B$23,0)),""))</f>
        <v>0</v>
      </c>
    </row>
    <row r="154" spans="4:5" s="5" customFormat="1" ht="18" customHeight="1">
      <c r="D154" s="5">
        <f>IF($E154="","",IFERROR(VLOOKUP($E154,validation!$A$2:$B$23,2,FALSE),""))</f>
        <v>0</v>
      </c>
      <c r="E154" s="5">
        <f>IF($D154="","",IFERROR(INDEX(validation!$A$2:$A$23,MATCH($D154,validation!$B$2:$B$23,0)),""))</f>
        <v>0</v>
      </c>
    </row>
    <row r="155" spans="4:5" s="5" customFormat="1" ht="18" customHeight="1">
      <c r="D155" s="5">
        <f>IF($E155="","",IFERROR(VLOOKUP($E155,validation!$A$2:$B$23,2,FALSE),""))</f>
        <v>0</v>
      </c>
      <c r="E155" s="5">
        <f>IF($D155="","",IFERROR(INDEX(validation!$A$2:$A$23,MATCH($D155,validation!$B$2:$B$23,0)),""))</f>
        <v>0</v>
      </c>
    </row>
    <row r="156" spans="4:5" s="5" customFormat="1" ht="18" customHeight="1">
      <c r="D156" s="5">
        <f>IF($E156="","",IFERROR(VLOOKUP($E156,validation!$A$2:$B$23,2,FALSE),""))</f>
        <v>0</v>
      </c>
      <c r="E156" s="5">
        <f>IF($D156="","",IFERROR(INDEX(validation!$A$2:$A$23,MATCH($D156,validation!$B$2:$B$23,0)),""))</f>
        <v>0</v>
      </c>
    </row>
    <row r="157" spans="4:5" s="5" customFormat="1" ht="18" customHeight="1">
      <c r="D157" s="5">
        <f>IF($E157="","",IFERROR(VLOOKUP($E157,validation!$A$2:$B$23,2,FALSE),""))</f>
        <v>0</v>
      </c>
      <c r="E157" s="5">
        <f>IF($D157="","",IFERROR(INDEX(validation!$A$2:$A$23,MATCH($D157,validation!$B$2:$B$23,0)),""))</f>
        <v>0</v>
      </c>
    </row>
    <row r="158" spans="4:5" s="5" customFormat="1" ht="18" customHeight="1">
      <c r="D158" s="5">
        <f>IF($E158="","",IFERROR(VLOOKUP($E158,validation!$A$2:$B$23,2,FALSE),""))</f>
        <v>0</v>
      </c>
      <c r="E158" s="5">
        <f>IF($D158="","",IFERROR(INDEX(validation!$A$2:$A$23,MATCH($D158,validation!$B$2:$B$23,0)),""))</f>
        <v>0</v>
      </c>
    </row>
    <row r="159" spans="4:5" s="5" customFormat="1" ht="18" customHeight="1">
      <c r="D159" s="5">
        <f>IF($E159="","",IFERROR(VLOOKUP($E159,validation!$A$2:$B$23,2,FALSE),""))</f>
        <v>0</v>
      </c>
      <c r="E159" s="5">
        <f>IF($D159="","",IFERROR(INDEX(validation!$A$2:$A$23,MATCH($D159,validation!$B$2:$B$23,0)),""))</f>
        <v>0</v>
      </c>
    </row>
    <row r="160" spans="4:5" s="5" customFormat="1" ht="18" customHeight="1">
      <c r="D160" s="5">
        <f>IF($E160="","",IFERROR(VLOOKUP($E160,validation!$A$2:$B$23,2,FALSE),""))</f>
        <v>0</v>
      </c>
      <c r="E160" s="5">
        <f>IF($D160="","",IFERROR(INDEX(validation!$A$2:$A$23,MATCH($D160,validation!$B$2:$B$23,0)),""))</f>
        <v>0</v>
      </c>
    </row>
    <row r="161" spans="4:5" s="5" customFormat="1" ht="18" customHeight="1">
      <c r="D161" s="5">
        <f>IF($E161="","",IFERROR(VLOOKUP($E161,validation!$A$2:$B$23,2,FALSE),""))</f>
        <v>0</v>
      </c>
      <c r="E161" s="5">
        <f>IF($D161="","",IFERROR(INDEX(validation!$A$2:$A$23,MATCH($D161,validation!$B$2:$B$23,0)),""))</f>
        <v>0</v>
      </c>
    </row>
    <row r="162" spans="4:5" s="5" customFormat="1" ht="18" customHeight="1">
      <c r="D162" s="5">
        <f>IF($E162="","",IFERROR(VLOOKUP($E162,validation!$A$2:$B$23,2,FALSE),""))</f>
        <v>0</v>
      </c>
      <c r="E162" s="5">
        <f>IF($D162="","",IFERROR(INDEX(validation!$A$2:$A$23,MATCH($D162,validation!$B$2:$B$23,0)),""))</f>
        <v>0</v>
      </c>
    </row>
    <row r="163" spans="4:5" s="5" customFormat="1" ht="18" customHeight="1">
      <c r="D163" s="5">
        <f>IF($E163="","",IFERROR(VLOOKUP($E163,validation!$A$2:$B$23,2,FALSE),""))</f>
        <v>0</v>
      </c>
      <c r="E163" s="5">
        <f>IF($D163="","",IFERROR(INDEX(validation!$A$2:$A$23,MATCH($D163,validation!$B$2:$B$23,0)),""))</f>
        <v>0</v>
      </c>
    </row>
    <row r="164" spans="4:5" s="5" customFormat="1" ht="18" customHeight="1">
      <c r="D164" s="5">
        <f>IF($E164="","",IFERROR(VLOOKUP($E164,validation!$A$2:$B$23,2,FALSE),""))</f>
        <v>0</v>
      </c>
      <c r="E164" s="5">
        <f>IF($D164="","",IFERROR(INDEX(validation!$A$2:$A$23,MATCH($D164,validation!$B$2:$B$23,0)),""))</f>
        <v>0</v>
      </c>
    </row>
    <row r="165" spans="4:5" s="5" customFormat="1" ht="18" customHeight="1">
      <c r="D165" s="5">
        <f>IF($E165="","",IFERROR(VLOOKUP($E165,validation!$A$2:$B$23,2,FALSE),""))</f>
        <v>0</v>
      </c>
      <c r="E165" s="5">
        <f>IF($D165="","",IFERROR(INDEX(validation!$A$2:$A$23,MATCH($D165,validation!$B$2:$B$23,0)),""))</f>
        <v>0</v>
      </c>
    </row>
    <row r="166" spans="4:5" s="5" customFormat="1" ht="18" customHeight="1">
      <c r="D166" s="5">
        <f>IF($E166="","",IFERROR(VLOOKUP($E166,validation!$A$2:$B$23,2,FALSE),""))</f>
        <v>0</v>
      </c>
      <c r="E166" s="5">
        <f>IF($D166="","",IFERROR(INDEX(validation!$A$2:$A$23,MATCH($D166,validation!$B$2:$B$23,0)),""))</f>
        <v>0</v>
      </c>
    </row>
    <row r="167" spans="4:5" s="5" customFormat="1" ht="18" customHeight="1">
      <c r="D167" s="5">
        <f>IF($E167="","",IFERROR(VLOOKUP($E167,validation!$A$2:$B$23,2,FALSE),""))</f>
        <v>0</v>
      </c>
      <c r="E167" s="5">
        <f>IF($D167="","",IFERROR(INDEX(validation!$A$2:$A$23,MATCH($D167,validation!$B$2:$B$23,0)),""))</f>
        <v>0</v>
      </c>
    </row>
    <row r="168" spans="4:5" s="5" customFormat="1" ht="18" customHeight="1">
      <c r="D168" s="5">
        <f>IF($E168="","",IFERROR(VLOOKUP($E168,validation!$A$2:$B$23,2,FALSE),""))</f>
        <v>0</v>
      </c>
      <c r="E168" s="5">
        <f>IF($D168="","",IFERROR(INDEX(validation!$A$2:$A$23,MATCH($D168,validation!$B$2:$B$23,0)),""))</f>
        <v>0</v>
      </c>
    </row>
    <row r="169" spans="4:5" s="5" customFormat="1" ht="18" customHeight="1">
      <c r="D169" s="5">
        <f>IF($E169="","",IFERROR(VLOOKUP($E169,validation!$A$2:$B$23,2,FALSE),""))</f>
        <v>0</v>
      </c>
      <c r="E169" s="5">
        <f>IF($D169="","",IFERROR(INDEX(validation!$A$2:$A$23,MATCH($D169,validation!$B$2:$B$23,0)),""))</f>
        <v>0</v>
      </c>
    </row>
    <row r="170" spans="4:5" s="5" customFormat="1" ht="18" customHeight="1">
      <c r="D170" s="5">
        <f>IF($E170="","",IFERROR(VLOOKUP($E170,validation!$A$2:$B$23,2,FALSE),""))</f>
        <v>0</v>
      </c>
      <c r="E170" s="5">
        <f>IF($D170="","",IFERROR(INDEX(validation!$A$2:$A$23,MATCH($D170,validation!$B$2:$B$23,0)),""))</f>
        <v>0</v>
      </c>
    </row>
    <row r="171" spans="4:5" s="5" customFormat="1" ht="18" customHeight="1">
      <c r="D171" s="5">
        <f>IF($E171="","",IFERROR(VLOOKUP($E171,validation!$A$2:$B$23,2,FALSE),""))</f>
        <v>0</v>
      </c>
      <c r="E171" s="5">
        <f>IF($D171="","",IFERROR(INDEX(validation!$A$2:$A$23,MATCH($D171,validation!$B$2:$B$23,0)),""))</f>
        <v>0</v>
      </c>
    </row>
    <row r="172" spans="4:5" s="5" customFormat="1" ht="18" customHeight="1">
      <c r="D172" s="5">
        <f>IF($E172="","",IFERROR(VLOOKUP($E172,validation!$A$2:$B$23,2,FALSE),""))</f>
        <v>0</v>
      </c>
      <c r="E172" s="5">
        <f>IF($D172="","",IFERROR(INDEX(validation!$A$2:$A$23,MATCH($D172,validation!$B$2:$B$23,0)),""))</f>
        <v>0</v>
      </c>
    </row>
    <row r="173" spans="4:5" s="5" customFormat="1" ht="18" customHeight="1">
      <c r="D173" s="5">
        <f>IF($E173="","",IFERROR(VLOOKUP($E173,validation!$A$2:$B$23,2,FALSE),""))</f>
        <v>0</v>
      </c>
      <c r="E173" s="5">
        <f>IF($D173="","",IFERROR(INDEX(validation!$A$2:$A$23,MATCH($D173,validation!$B$2:$B$23,0)),""))</f>
        <v>0</v>
      </c>
    </row>
    <row r="174" spans="4:5" s="5" customFormat="1" ht="18" customHeight="1">
      <c r="D174" s="5">
        <f>IF($E174="","",IFERROR(VLOOKUP($E174,validation!$A$2:$B$23,2,FALSE),""))</f>
        <v>0</v>
      </c>
      <c r="E174" s="5">
        <f>IF($D174="","",IFERROR(INDEX(validation!$A$2:$A$23,MATCH($D174,validation!$B$2:$B$23,0)),""))</f>
        <v>0</v>
      </c>
    </row>
    <row r="175" spans="4:5" s="5" customFormat="1" ht="18" customHeight="1">
      <c r="D175" s="5">
        <f>IF($E175="","",IFERROR(VLOOKUP($E175,validation!$A$2:$B$23,2,FALSE),""))</f>
        <v>0</v>
      </c>
      <c r="E175" s="5">
        <f>IF($D175="","",IFERROR(INDEX(validation!$A$2:$A$23,MATCH($D175,validation!$B$2:$B$23,0)),""))</f>
        <v>0</v>
      </c>
    </row>
    <row r="176" spans="4:5" s="5" customFormat="1" ht="18" customHeight="1">
      <c r="D176" s="5">
        <f>IF($E176="","",IFERROR(VLOOKUP($E176,validation!$A$2:$B$23,2,FALSE),""))</f>
        <v>0</v>
      </c>
      <c r="E176" s="5">
        <f>IF($D176="","",IFERROR(INDEX(validation!$A$2:$A$23,MATCH($D176,validation!$B$2:$B$23,0)),""))</f>
        <v>0</v>
      </c>
    </row>
    <row r="177" spans="4:5" s="5" customFormat="1" ht="18" customHeight="1">
      <c r="D177" s="5">
        <f>IF($E177="","",IFERROR(VLOOKUP($E177,validation!$A$2:$B$23,2,FALSE),""))</f>
        <v>0</v>
      </c>
      <c r="E177" s="5">
        <f>IF($D177="","",IFERROR(INDEX(validation!$A$2:$A$23,MATCH($D177,validation!$B$2:$B$23,0)),""))</f>
        <v>0</v>
      </c>
    </row>
    <row r="178" spans="4:5" s="5" customFormat="1" ht="18" customHeight="1">
      <c r="D178" s="5">
        <f>IF($E178="","",IFERROR(VLOOKUP($E178,validation!$A$2:$B$23,2,FALSE),""))</f>
        <v>0</v>
      </c>
      <c r="E178" s="5">
        <f>IF($D178="","",IFERROR(INDEX(validation!$A$2:$A$23,MATCH($D178,validation!$B$2:$B$23,0)),""))</f>
        <v>0</v>
      </c>
    </row>
    <row r="179" spans="4:5" s="5" customFormat="1" ht="18" customHeight="1">
      <c r="D179" s="5">
        <f>IF($E179="","",IFERROR(VLOOKUP($E179,validation!$A$2:$B$23,2,FALSE),""))</f>
        <v>0</v>
      </c>
      <c r="E179" s="5">
        <f>IF($D179="","",IFERROR(INDEX(validation!$A$2:$A$23,MATCH($D179,validation!$B$2:$B$23,0)),""))</f>
        <v>0</v>
      </c>
    </row>
    <row r="180" spans="4:5" s="5" customFormat="1" ht="18" customHeight="1">
      <c r="D180" s="5">
        <f>IF($E180="","",IFERROR(VLOOKUP($E180,validation!$A$2:$B$23,2,FALSE),""))</f>
        <v>0</v>
      </c>
      <c r="E180" s="5">
        <f>IF($D180="","",IFERROR(INDEX(validation!$A$2:$A$23,MATCH($D180,validation!$B$2:$B$23,0)),""))</f>
        <v>0</v>
      </c>
    </row>
    <row r="181" spans="4:5" s="5" customFormat="1" ht="18" customHeight="1">
      <c r="D181" s="5">
        <f>IF($E181="","",IFERROR(VLOOKUP($E181,validation!$A$2:$B$23,2,FALSE),""))</f>
        <v>0</v>
      </c>
      <c r="E181" s="5">
        <f>IF($D181="","",IFERROR(INDEX(validation!$A$2:$A$23,MATCH($D181,validation!$B$2:$B$23,0)),""))</f>
        <v>0</v>
      </c>
    </row>
    <row r="182" spans="4:5" s="5" customFormat="1" ht="18" customHeight="1">
      <c r="D182" s="5">
        <f>IF($E182="","",IFERROR(VLOOKUP($E182,validation!$A$2:$B$23,2,FALSE),""))</f>
        <v>0</v>
      </c>
      <c r="E182" s="5">
        <f>IF($D182="","",IFERROR(INDEX(validation!$A$2:$A$23,MATCH($D182,validation!$B$2:$B$23,0)),""))</f>
        <v>0</v>
      </c>
    </row>
    <row r="183" spans="4:5" s="5" customFormat="1" ht="18" customHeight="1">
      <c r="D183" s="5">
        <f>IF($E183="","",IFERROR(VLOOKUP($E183,validation!$A$2:$B$23,2,FALSE),""))</f>
        <v>0</v>
      </c>
      <c r="E183" s="5">
        <f>IF($D183="","",IFERROR(INDEX(validation!$A$2:$A$23,MATCH($D183,validation!$B$2:$B$23,0)),""))</f>
        <v>0</v>
      </c>
    </row>
    <row r="184" spans="4:5" s="5" customFormat="1" ht="18" customHeight="1">
      <c r="D184" s="5">
        <f>IF($E184="","",IFERROR(VLOOKUP($E184,validation!$A$2:$B$23,2,FALSE),""))</f>
        <v>0</v>
      </c>
      <c r="E184" s="5">
        <f>IF($D184="","",IFERROR(INDEX(validation!$A$2:$A$23,MATCH($D184,validation!$B$2:$B$23,0)),""))</f>
        <v>0</v>
      </c>
    </row>
    <row r="185" spans="4:5" s="5" customFormat="1" ht="18" customHeight="1">
      <c r="D185" s="5">
        <f>IF($E185="","",IFERROR(VLOOKUP($E185,validation!$A$2:$B$23,2,FALSE),""))</f>
        <v>0</v>
      </c>
      <c r="E185" s="5">
        <f>IF($D185="","",IFERROR(INDEX(validation!$A$2:$A$23,MATCH($D185,validation!$B$2:$B$23,0)),""))</f>
        <v>0</v>
      </c>
    </row>
    <row r="186" spans="4:5" s="5" customFormat="1" ht="18" customHeight="1">
      <c r="D186" s="5">
        <f>IF($E186="","",IFERROR(VLOOKUP($E186,validation!$A$2:$B$23,2,FALSE),""))</f>
        <v>0</v>
      </c>
      <c r="E186" s="5">
        <f>IF($D186="","",IFERROR(INDEX(validation!$A$2:$A$23,MATCH($D186,validation!$B$2:$B$23,0)),""))</f>
        <v>0</v>
      </c>
    </row>
    <row r="187" spans="4:5" s="5" customFormat="1" ht="18" customHeight="1">
      <c r="D187" s="5">
        <f>IF($E187="","",IFERROR(VLOOKUP($E187,validation!$A$2:$B$23,2,FALSE),""))</f>
        <v>0</v>
      </c>
      <c r="E187" s="5">
        <f>IF($D187="","",IFERROR(INDEX(validation!$A$2:$A$23,MATCH($D187,validation!$B$2:$B$23,0)),""))</f>
        <v>0</v>
      </c>
    </row>
    <row r="188" spans="4:5" s="5" customFormat="1" ht="18" customHeight="1">
      <c r="D188" s="5">
        <f>IF($E188="","",IFERROR(VLOOKUP($E188,validation!$A$2:$B$23,2,FALSE),""))</f>
        <v>0</v>
      </c>
      <c r="E188" s="5">
        <f>IF($D188="","",IFERROR(INDEX(validation!$A$2:$A$23,MATCH($D188,validation!$B$2:$B$23,0)),""))</f>
        <v>0</v>
      </c>
    </row>
    <row r="189" spans="4:5" s="5" customFormat="1" ht="18" customHeight="1">
      <c r="D189" s="5">
        <f>IF($E189="","",IFERROR(VLOOKUP($E189,validation!$A$2:$B$23,2,FALSE),""))</f>
        <v>0</v>
      </c>
      <c r="E189" s="5">
        <f>IF($D189="","",IFERROR(INDEX(validation!$A$2:$A$23,MATCH($D189,validation!$B$2:$B$23,0)),""))</f>
        <v>0</v>
      </c>
    </row>
    <row r="190" spans="4:5" s="5" customFormat="1" ht="18" customHeight="1">
      <c r="D190" s="5">
        <f>IF($E190="","",IFERROR(VLOOKUP($E190,validation!$A$2:$B$23,2,FALSE),""))</f>
        <v>0</v>
      </c>
      <c r="E190" s="5">
        <f>IF($D190="","",IFERROR(INDEX(validation!$A$2:$A$23,MATCH($D190,validation!$B$2:$B$23,0)),""))</f>
        <v>0</v>
      </c>
    </row>
    <row r="191" spans="4:5" s="5" customFormat="1" ht="18" customHeight="1">
      <c r="D191" s="5">
        <f>IF($E191="","",IFERROR(VLOOKUP($E191,validation!$A$2:$B$23,2,FALSE),""))</f>
        <v>0</v>
      </c>
      <c r="E191" s="5">
        <f>IF($D191="","",IFERROR(INDEX(validation!$A$2:$A$23,MATCH($D191,validation!$B$2:$B$23,0)),""))</f>
        <v>0</v>
      </c>
    </row>
    <row r="192" spans="4:5" s="5" customFormat="1" ht="18" customHeight="1">
      <c r="D192" s="5">
        <f>IF($E192="","",IFERROR(VLOOKUP($E192,validation!$A$2:$B$23,2,FALSE),""))</f>
        <v>0</v>
      </c>
      <c r="E192" s="5">
        <f>IF($D192="","",IFERROR(INDEX(validation!$A$2:$A$23,MATCH($D192,validation!$B$2:$B$23,0)),""))</f>
        <v>0</v>
      </c>
    </row>
    <row r="193" spans="4:5" s="5" customFormat="1" ht="18" customHeight="1">
      <c r="D193" s="5">
        <f>IF($E193="","",IFERROR(VLOOKUP($E193,validation!$A$2:$B$23,2,FALSE),""))</f>
        <v>0</v>
      </c>
      <c r="E193" s="5">
        <f>IF($D193="","",IFERROR(INDEX(validation!$A$2:$A$23,MATCH($D193,validation!$B$2:$B$23,0)),""))</f>
        <v>0</v>
      </c>
    </row>
    <row r="194" spans="4:5" s="5" customFormat="1" ht="18" customHeight="1">
      <c r="D194" s="5">
        <f>IF($E194="","",IFERROR(VLOOKUP($E194,validation!$A$2:$B$23,2,FALSE),""))</f>
        <v>0</v>
      </c>
      <c r="E194" s="5">
        <f>IF($D194="","",IFERROR(INDEX(validation!$A$2:$A$23,MATCH($D194,validation!$B$2:$B$23,0)),""))</f>
        <v>0</v>
      </c>
    </row>
    <row r="195" spans="4:5" s="5" customFormat="1" ht="18" customHeight="1">
      <c r="D195" s="5">
        <f>IF($E195="","",IFERROR(VLOOKUP($E195,validation!$A$2:$B$23,2,FALSE),""))</f>
        <v>0</v>
      </c>
      <c r="E195" s="5">
        <f>IF($D195="","",IFERROR(INDEX(validation!$A$2:$A$23,MATCH($D195,validation!$B$2:$B$23,0)),""))</f>
        <v>0</v>
      </c>
    </row>
    <row r="196" spans="4:5" s="5" customFormat="1" ht="18" customHeight="1">
      <c r="D196" s="5">
        <f>IF($E196="","",IFERROR(VLOOKUP($E196,validation!$A$2:$B$23,2,FALSE),""))</f>
        <v>0</v>
      </c>
      <c r="E196" s="5">
        <f>IF($D196="","",IFERROR(INDEX(validation!$A$2:$A$23,MATCH($D196,validation!$B$2:$B$23,0)),""))</f>
        <v>0</v>
      </c>
    </row>
    <row r="197" spans="4:5" s="5" customFormat="1" ht="18" customHeight="1">
      <c r="D197" s="5">
        <f>IF($E197="","",IFERROR(VLOOKUP($E197,validation!$A$2:$B$23,2,FALSE),""))</f>
        <v>0</v>
      </c>
      <c r="E197" s="5">
        <f>IF($D197="","",IFERROR(INDEX(validation!$A$2:$A$23,MATCH($D197,validation!$B$2:$B$23,0)),""))</f>
        <v>0</v>
      </c>
    </row>
    <row r="198" spans="4:5" s="5" customFormat="1" ht="18" customHeight="1">
      <c r="D198" s="5">
        <f>IF($E198="","",IFERROR(VLOOKUP($E198,validation!$A$2:$B$23,2,FALSE),""))</f>
        <v>0</v>
      </c>
      <c r="E198" s="5">
        <f>IF($D198="","",IFERROR(INDEX(validation!$A$2:$A$23,MATCH($D198,validation!$B$2:$B$23,0)),""))</f>
        <v>0</v>
      </c>
    </row>
    <row r="199" spans="4:5" s="5" customFormat="1" ht="18" customHeight="1">
      <c r="D199" s="5">
        <f>IF($E199="","",IFERROR(VLOOKUP($E199,validation!$A$2:$B$23,2,FALSE),""))</f>
        <v>0</v>
      </c>
      <c r="E199" s="5">
        <f>IF($D199="","",IFERROR(INDEX(validation!$A$2:$A$23,MATCH($D199,validation!$B$2:$B$23,0)),""))</f>
        <v>0</v>
      </c>
    </row>
    <row r="200" spans="4:5" s="5" customFormat="1" ht="18" customHeight="1">
      <c r="D200" s="5">
        <f>IF($E200="","",IFERROR(VLOOKUP($E200,validation!$A$2:$B$23,2,FALSE),""))</f>
        <v>0</v>
      </c>
      <c r="E200" s="5">
        <f>IF($D200="","",IFERROR(INDEX(validation!$A$2:$A$23,MATCH($D200,validation!$B$2:$B$23,0)),""))</f>
        <v>0</v>
      </c>
    </row>
  </sheetData>
  <dataValidations count="399">
    <dataValidation type="list" allowBlank="1" showInputMessage="1" showErrorMessage="1" sqref="F4:F200">
      <formula1>"variant-centric,gene-centric"</formula1>
    </dataValidation>
    <dataValidation type="list" allowBlank="1" showInputMessage="1" showErrorMessage="1" sqref="E4:E200">
      <formula1>validation!$A$2:$A$23</formula1>
    </dataValidation>
    <dataValidation type="list" allowBlank="1" showInputMessage="1" showErrorMessage="1" sqref="D4:D200">
      <formula1>validation!$B$2:$B$23</formula1>
    </dataValidation>
    <dataValidation type="list" allowBlank="1" showInputMessage="1" showErrorMessage="1" sqref="G4:G200">
      <formula1>Source!$A$4:$A$200</formula1>
    </dataValidation>
    <dataValidation type="custom" allowBlank="1" showInputMessage="1" showErrorMessage="1" errorTitle="Unknown source_tag" error="Enter a source_tag defined in the Source sheet with its required fields filled." sqref="G4">
      <formula1>IF($G4="",TRUE,AND(ISNUMBER(MATCH($G4,Source!$A$4:$A$200,0)),INDEX(Source!$A$4:$A$200,MATCH($G4,Source!$A$4:$A$200,0))&lt;&gt;""))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">
      <formula1>IF($G5="",TRUE,AND(ISNUMBER(MATCH($G5,Source!$A$4:$A$200,0)),INDEX(Source!$A$4:$A$200,MATCH($G5,Source!$A$4:$A$200,0))&lt;&gt;""))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">
      <formula1>IF($G6="",TRUE,AND(ISNUMBER(MATCH($G6,Source!$A$4:$A$200,0)),INDEX(Source!$A$4:$A$200,MATCH($G6,Source!$A$4:$A$200,0))&lt;&gt;""))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">
      <formula1>IF($G7="",TRUE,AND(ISNUMBER(MATCH($G7,Source!$A$4:$A$200,0)),INDEX(Source!$A$4:$A$200,MATCH($G7,Source!$A$4:$A$200,0))&lt;&gt;""))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">
      <formula1>IF($G8="",TRUE,AND(ISNUMBER(MATCH($G8,Source!$A$4:$A$200,0)),INDEX(Source!$A$4:$A$200,MATCH($G8,Source!$A$4:$A$200,0))&lt;&gt;""))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">
      <formula1>IF($G9="",TRUE,AND(ISNUMBER(MATCH($G9,Source!$A$4:$A$200,0)),INDEX(Source!$A$4:$A$200,MATCH($G9,Source!$A$4:$A$200,0))&lt;&gt;""))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">
      <formula1>IF($G10="",TRUE,AND(ISNUMBER(MATCH($G10,Source!$A$4:$A$200,0)),INDEX(Source!$A$4:$A$200,MATCH($G10,Source!$A$4:$A$200,0))&lt;&gt;""))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">
      <formula1>IF($G11="",TRUE,AND(ISNUMBER(MATCH($G11,Source!$A$4:$A$200,0)),INDEX(Source!$A$4:$A$200,MATCH($G11,Source!$A$4:$A$200,0))&lt;&gt;""))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">
      <formula1>IF($G12="",TRUE,AND(ISNUMBER(MATCH($G12,Source!$A$4:$A$200,0)),INDEX(Source!$A$4:$A$200,MATCH($G12,Source!$A$4:$A$200,0))&lt;&gt;""))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">
      <formula1>IF($G13="",TRUE,AND(ISNUMBER(MATCH($G13,Source!$A$4:$A$200,0)),INDEX(Source!$A$4:$A$200,MATCH($G13,Source!$A$4:$A$200,0))&lt;&gt;""))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">
      <formula1>IF($G14="",TRUE,AND(ISNUMBER(MATCH($G14,Source!$A$4:$A$200,0)),INDEX(Source!$A$4:$A$200,MATCH($G14,Source!$A$4:$A$200,0))&lt;&gt;""))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">
      <formula1>IF($G15="",TRUE,AND(ISNUMBER(MATCH($G15,Source!$A$4:$A$200,0)),INDEX(Source!$A$4:$A$200,MATCH($G15,Source!$A$4:$A$200,0))&lt;&gt;""))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">
      <formula1>IF($G16="",TRUE,AND(ISNUMBER(MATCH($G16,Source!$A$4:$A$200,0)),INDEX(Source!$A$4:$A$200,MATCH($G16,Source!$A$4:$A$200,0))&lt;&gt;""))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">
      <formula1>IF($G17="",TRUE,AND(ISNUMBER(MATCH($G17,Source!$A$4:$A$200,0)),INDEX(Source!$A$4:$A$200,MATCH($G17,Source!$A$4:$A$200,0))&lt;&gt;""))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">
      <formula1>IF($G18="",TRUE,AND(ISNUMBER(MATCH($G18,Source!$A$4:$A$200,0)),INDEX(Source!$A$4:$A$200,MATCH($G18,Source!$A$4:$A$200,0))&lt;&gt;""))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">
      <formula1>IF($G19="",TRUE,AND(ISNUMBER(MATCH($G19,Source!$A$4:$A$200,0)),INDEX(Source!$A$4:$A$200,MATCH($G19,Source!$A$4:$A$200,0))&lt;&gt;""))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0">
      <formula1>IF($G20="",TRUE,AND(ISNUMBER(MATCH($G20,Source!$A$4:$A$200,0)),INDEX(Source!$A$4:$A$200,MATCH($G20,Source!$A$4:$A$200,0))&lt;&gt;""))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1">
      <formula1>IF($G21="",TRUE,AND(ISNUMBER(MATCH($G21,Source!$A$4:$A$200,0)),INDEX(Source!$A$4:$A$200,MATCH($G21,Source!$A$4:$A$200,0))&lt;&gt;""))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2">
      <formula1>IF($G22="",TRUE,AND(ISNUMBER(MATCH($G22,Source!$A$4:$A$200,0)),INDEX(Source!$A$4:$A$200,MATCH($G22,Source!$A$4:$A$200,0))&lt;&gt;""))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3">
      <formula1>IF($G23="",TRUE,AND(ISNUMBER(MATCH($G23,Source!$A$4:$A$200,0)),INDEX(Source!$A$4:$A$200,MATCH($G23,Source!$A$4:$A$200,0))&lt;&gt;""))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4">
      <formula1>IF($G24="",TRUE,AND(ISNUMBER(MATCH($G24,Source!$A$4:$A$200,0)),INDEX(Source!$A$4:$A$200,MATCH($G24,Source!$A$4:$A$200,0))&lt;&gt;""))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5">
      <formula1>IF($G25="",TRUE,AND(ISNUMBER(MATCH($G25,Source!$A$4:$A$200,0)),INDEX(Source!$A$4:$A$200,MATCH($G25,Source!$A$4:$A$200,0))&lt;&gt;""))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6">
      <formula1>IF($G26="",TRUE,AND(ISNUMBER(MATCH($G26,Source!$A$4:$A$200,0)),INDEX(Source!$A$4:$A$200,MATCH($G26,Source!$A$4:$A$200,0))&lt;&gt;""))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7">
      <formula1>IF($G27="",TRUE,AND(ISNUMBER(MATCH($G27,Source!$A$4:$A$200,0)),INDEX(Source!$A$4:$A$200,MATCH($G27,Source!$A$4:$A$200,0))&lt;&gt;""))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8">
      <formula1>IF($G28="",TRUE,AND(ISNUMBER(MATCH($G28,Source!$A$4:$A$200,0)),INDEX(Source!$A$4:$A$200,MATCH($G28,Source!$A$4:$A$200,0))&lt;&gt;""))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9">
      <formula1>IF($G29="",TRUE,AND(ISNUMBER(MATCH($G29,Source!$A$4:$A$200,0)),INDEX(Source!$A$4:$A$200,MATCH($G29,Source!$A$4:$A$200,0))&lt;&gt;""))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0">
      <formula1>IF($G30="",TRUE,AND(ISNUMBER(MATCH($G30,Source!$A$4:$A$200,0)),INDEX(Source!$A$4:$A$200,MATCH($G30,Source!$A$4:$A$200,0))&lt;&gt;""))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1">
      <formula1>IF($G31="",TRUE,AND(ISNUMBER(MATCH($G31,Source!$A$4:$A$200,0)),INDEX(Source!$A$4:$A$200,MATCH($G31,Source!$A$4:$A$200,0))&lt;&gt;""))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2">
      <formula1>IF($G32="",TRUE,AND(ISNUMBER(MATCH($G32,Source!$A$4:$A$200,0)),INDEX(Source!$A$4:$A$200,MATCH($G32,Source!$A$4:$A$200,0))&lt;&gt;""))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3">
      <formula1>IF($G33="",TRUE,AND(ISNUMBER(MATCH($G33,Source!$A$4:$A$200,0)),INDEX(Source!$A$4:$A$200,MATCH($G33,Source!$A$4:$A$200,0))&lt;&gt;""))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4">
      <formula1>IF($G34="",TRUE,AND(ISNUMBER(MATCH($G34,Source!$A$4:$A$200,0)),INDEX(Source!$A$4:$A$200,MATCH($G34,Source!$A$4:$A$200,0))&lt;&gt;""))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5">
      <formula1>IF($G35="",TRUE,AND(ISNUMBER(MATCH($G35,Source!$A$4:$A$200,0)),INDEX(Source!$A$4:$A$200,MATCH($G35,Source!$A$4:$A$200,0))&lt;&gt;""))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6">
      <formula1>IF($G36="",TRUE,AND(ISNUMBER(MATCH($G36,Source!$A$4:$A$200,0)),INDEX(Source!$A$4:$A$200,MATCH($G36,Source!$A$4:$A$200,0))&lt;&gt;""))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7">
      <formula1>IF($G37="",TRUE,AND(ISNUMBER(MATCH($G37,Source!$A$4:$A$200,0)),INDEX(Source!$A$4:$A$200,MATCH($G37,Source!$A$4:$A$200,0))&lt;&gt;""))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8">
      <formula1>IF($G38="",TRUE,AND(ISNUMBER(MATCH($G38,Source!$A$4:$A$200,0)),INDEX(Source!$A$4:$A$200,MATCH($G38,Source!$A$4:$A$200,0))&lt;&gt;""))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39">
      <formula1>IF($G39="",TRUE,AND(ISNUMBER(MATCH($G39,Source!$A$4:$A$200,0)),INDEX(Source!$A$4:$A$200,MATCH($G39,Source!$A$4:$A$200,0))&lt;&gt;""))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0">
      <formula1>IF($G40="",TRUE,AND(ISNUMBER(MATCH($G40,Source!$A$4:$A$200,0)),INDEX(Source!$A$4:$A$200,MATCH($G40,Source!$A$4:$A$200,0))&lt;&gt;""))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1">
      <formula1>IF($G41="",TRUE,AND(ISNUMBER(MATCH($G41,Source!$A$4:$A$200,0)),INDEX(Source!$A$4:$A$200,MATCH($G41,Source!$A$4:$A$200,0))&lt;&gt;""))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2">
      <formula1>IF($G42="",TRUE,AND(ISNUMBER(MATCH($G42,Source!$A$4:$A$200,0)),INDEX(Source!$A$4:$A$200,MATCH($G42,Source!$A$4:$A$200,0))&lt;&gt;""))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3">
      <formula1>IF($G43="",TRUE,AND(ISNUMBER(MATCH($G43,Source!$A$4:$A$200,0)),INDEX(Source!$A$4:$A$200,MATCH($G43,Source!$A$4:$A$200,0))&lt;&gt;""))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4">
      <formula1>IF($G44="",TRUE,AND(ISNUMBER(MATCH($G44,Source!$A$4:$A$200,0)),INDEX(Source!$A$4:$A$200,MATCH($G44,Source!$A$4:$A$200,0))&lt;&gt;""))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5">
      <formula1>IF($G45="",TRUE,AND(ISNUMBER(MATCH($G45,Source!$A$4:$A$200,0)),INDEX(Source!$A$4:$A$200,MATCH($G45,Source!$A$4:$A$200,0))&lt;&gt;""))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6">
      <formula1>IF($G46="",TRUE,AND(ISNUMBER(MATCH($G46,Source!$A$4:$A$200,0)),INDEX(Source!$A$4:$A$200,MATCH($G46,Source!$A$4:$A$200,0))&lt;&gt;""))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7">
      <formula1>IF($G47="",TRUE,AND(ISNUMBER(MATCH($G47,Source!$A$4:$A$200,0)),INDEX(Source!$A$4:$A$200,MATCH($G47,Source!$A$4:$A$200,0))&lt;&gt;""))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8">
      <formula1>IF($G48="",TRUE,AND(ISNUMBER(MATCH($G48,Source!$A$4:$A$200,0)),INDEX(Source!$A$4:$A$200,MATCH($G48,Source!$A$4:$A$200,0))&lt;&gt;""))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49">
      <formula1>IF($G49="",TRUE,AND(ISNUMBER(MATCH($G49,Source!$A$4:$A$200,0)),INDEX(Source!$A$4:$A$200,MATCH($G49,Source!$A$4:$A$200,0))&lt;&gt;""))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0">
      <formula1>IF($G50="",TRUE,AND(ISNUMBER(MATCH($G50,Source!$A$4:$A$200,0)),INDEX(Source!$A$4:$A$200,MATCH($G50,Source!$A$4:$A$200,0))&lt;&gt;""))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1">
      <formula1>IF($G51="",TRUE,AND(ISNUMBER(MATCH($G51,Source!$A$4:$A$200,0)),INDEX(Source!$A$4:$A$200,MATCH($G51,Source!$A$4:$A$200,0))&lt;&gt;""))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2">
      <formula1>IF($G52="",TRUE,AND(ISNUMBER(MATCH($G52,Source!$A$4:$A$200,0)),INDEX(Source!$A$4:$A$200,MATCH($G52,Source!$A$4:$A$200,0))&lt;&gt;""))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3">
      <formula1>IF($G53="",TRUE,AND(ISNUMBER(MATCH($G53,Source!$A$4:$A$200,0)),INDEX(Source!$A$4:$A$200,MATCH($G53,Source!$A$4:$A$200,0))&lt;&gt;""))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4">
      <formula1>IF($G54="",TRUE,AND(ISNUMBER(MATCH($G54,Source!$A$4:$A$200,0)),INDEX(Source!$A$4:$A$200,MATCH($G54,Source!$A$4:$A$200,0))&lt;&gt;""))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5">
      <formula1>IF($G55="",TRUE,AND(ISNUMBER(MATCH($G55,Source!$A$4:$A$200,0)),INDEX(Source!$A$4:$A$200,MATCH($G55,Source!$A$4:$A$200,0))&lt;&gt;""))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6">
      <formula1>IF($G56="",TRUE,AND(ISNUMBER(MATCH($G56,Source!$A$4:$A$200,0)),INDEX(Source!$A$4:$A$200,MATCH($G56,Source!$A$4:$A$200,0))&lt;&gt;""))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7">
      <formula1>IF($G57="",TRUE,AND(ISNUMBER(MATCH($G57,Source!$A$4:$A$200,0)),INDEX(Source!$A$4:$A$200,MATCH($G57,Source!$A$4:$A$200,0))&lt;&gt;""))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8">
      <formula1>IF($G58="",TRUE,AND(ISNUMBER(MATCH($G58,Source!$A$4:$A$200,0)),INDEX(Source!$A$4:$A$200,MATCH($G58,Source!$A$4:$A$200,0))&lt;&gt;""))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59">
      <formula1>IF($G59="",TRUE,AND(ISNUMBER(MATCH($G59,Source!$A$4:$A$200,0)),INDEX(Source!$A$4:$A$200,MATCH($G59,Source!$A$4:$A$200,0))&lt;&gt;""))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0">
      <formula1>IF($G60="",TRUE,AND(ISNUMBER(MATCH($G60,Source!$A$4:$A$200,0)),INDEX(Source!$A$4:$A$200,MATCH($G60,Source!$A$4:$A$200,0))&lt;&gt;""))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1">
      <formula1>IF($G61="",TRUE,AND(ISNUMBER(MATCH($G61,Source!$A$4:$A$200,0)),INDEX(Source!$A$4:$A$200,MATCH($G61,Source!$A$4:$A$200,0))&lt;&gt;""))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2">
      <formula1>IF($G62="",TRUE,AND(ISNUMBER(MATCH($G62,Source!$A$4:$A$200,0)),INDEX(Source!$A$4:$A$200,MATCH($G62,Source!$A$4:$A$200,0))&lt;&gt;""))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3">
      <formula1>IF($G63="",TRUE,AND(ISNUMBER(MATCH($G63,Source!$A$4:$A$200,0)),INDEX(Source!$A$4:$A$200,MATCH($G63,Source!$A$4:$A$200,0))&lt;&gt;""))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4">
      <formula1>IF($G64="",TRUE,AND(ISNUMBER(MATCH($G64,Source!$A$4:$A$200,0)),INDEX(Source!$A$4:$A$200,MATCH($G64,Source!$A$4:$A$200,0))&lt;&gt;""))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5">
      <formula1>IF($G65="",TRUE,AND(ISNUMBER(MATCH($G65,Source!$A$4:$A$200,0)),INDEX(Source!$A$4:$A$200,MATCH($G65,Source!$A$4:$A$200,0))&lt;&gt;""))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6">
      <formula1>IF($G66="",TRUE,AND(ISNUMBER(MATCH($G66,Source!$A$4:$A$200,0)),INDEX(Source!$A$4:$A$200,MATCH($G66,Source!$A$4:$A$200,0))&lt;&gt;""))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7">
      <formula1>IF($G67="",TRUE,AND(ISNUMBER(MATCH($G67,Source!$A$4:$A$200,0)),INDEX(Source!$A$4:$A$200,MATCH($G67,Source!$A$4:$A$200,0))&lt;&gt;""))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8">
      <formula1>IF($G68="",TRUE,AND(ISNUMBER(MATCH($G68,Source!$A$4:$A$200,0)),INDEX(Source!$A$4:$A$200,MATCH($G68,Source!$A$4:$A$200,0))&lt;&gt;""))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69">
      <formula1>IF($G69="",TRUE,AND(ISNUMBER(MATCH($G69,Source!$A$4:$A$200,0)),INDEX(Source!$A$4:$A$200,MATCH($G69,Source!$A$4:$A$200,0))&lt;&gt;""))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0">
      <formula1>IF($G70="",TRUE,AND(ISNUMBER(MATCH($G70,Source!$A$4:$A$200,0)),INDEX(Source!$A$4:$A$200,MATCH($G70,Source!$A$4:$A$200,0))&lt;&gt;""))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1">
      <formula1>IF($G71="",TRUE,AND(ISNUMBER(MATCH($G71,Source!$A$4:$A$200,0)),INDEX(Source!$A$4:$A$200,MATCH($G71,Source!$A$4:$A$200,0))&lt;&gt;""))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2">
      <formula1>IF($G72="",TRUE,AND(ISNUMBER(MATCH($G72,Source!$A$4:$A$200,0)),INDEX(Source!$A$4:$A$200,MATCH($G72,Source!$A$4:$A$200,0))&lt;&gt;""))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3">
      <formula1>IF($G73="",TRUE,AND(ISNUMBER(MATCH($G73,Source!$A$4:$A$200,0)),INDEX(Source!$A$4:$A$200,MATCH($G73,Source!$A$4:$A$200,0))&lt;&gt;""))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4">
      <formula1>IF($G74="",TRUE,AND(ISNUMBER(MATCH($G74,Source!$A$4:$A$200,0)),INDEX(Source!$A$4:$A$200,MATCH($G74,Source!$A$4:$A$200,0))&lt;&gt;""))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5">
      <formula1>IF($G75="",TRUE,AND(ISNUMBER(MATCH($G75,Source!$A$4:$A$200,0)),INDEX(Source!$A$4:$A$200,MATCH($G75,Source!$A$4:$A$200,0))&lt;&gt;""))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6">
      <formula1>IF($G76="",TRUE,AND(ISNUMBER(MATCH($G76,Source!$A$4:$A$200,0)),INDEX(Source!$A$4:$A$200,MATCH($G76,Source!$A$4:$A$200,0))&lt;&gt;""))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7">
      <formula1>IF($G77="",TRUE,AND(ISNUMBER(MATCH($G77,Source!$A$4:$A$200,0)),INDEX(Source!$A$4:$A$200,MATCH($G77,Source!$A$4:$A$200,0))&lt;&gt;""))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8">
      <formula1>IF($G78="",TRUE,AND(ISNUMBER(MATCH($G78,Source!$A$4:$A$200,0)),INDEX(Source!$A$4:$A$200,MATCH($G78,Source!$A$4:$A$200,0))&lt;&gt;""))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79">
      <formula1>IF($G79="",TRUE,AND(ISNUMBER(MATCH($G79,Source!$A$4:$A$200,0)),INDEX(Source!$A$4:$A$200,MATCH($G79,Source!$A$4:$A$200,0))&lt;&gt;""))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0">
      <formula1>IF($G80="",TRUE,AND(ISNUMBER(MATCH($G80,Source!$A$4:$A$200,0)),INDEX(Source!$A$4:$A$200,MATCH($G80,Source!$A$4:$A$200,0))&lt;&gt;""))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1">
      <formula1>IF($G81="",TRUE,AND(ISNUMBER(MATCH($G81,Source!$A$4:$A$200,0)),INDEX(Source!$A$4:$A$200,MATCH($G81,Source!$A$4:$A$200,0))&lt;&gt;""))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2">
      <formula1>IF($G82="",TRUE,AND(ISNUMBER(MATCH($G82,Source!$A$4:$A$200,0)),INDEX(Source!$A$4:$A$200,MATCH($G82,Source!$A$4:$A$200,0))&lt;&gt;""))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3">
      <formula1>IF($G83="",TRUE,AND(ISNUMBER(MATCH($G83,Source!$A$4:$A$200,0)),INDEX(Source!$A$4:$A$200,MATCH($G83,Source!$A$4:$A$200,0))&lt;&gt;""))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4">
      <formula1>IF($G84="",TRUE,AND(ISNUMBER(MATCH($G84,Source!$A$4:$A$200,0)),INDEX(Source!$A$4:$A$200,MATCH($G84,Source!$A$4:$A$200,0))&lt;&gt;""))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5">
      <formula1>IF($G85="",TRUE,AND(ISNUMBER(MATCH($G85,Source!$A$4:$A$200,0)),INDEX(Source!$A$4:$A$200,MATCH($G85,Source!$A$4:$A$200,0))&lt;&gt;""))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6">
      <formula1>IF($G86="",TRUE,AND(ISNUMBER(MATCH($G86,Source!$A$4:$A$200,0)),INDEX(Source!$A$4:$A$200,MATCH($G86,Source!$A$4:$A$200,0))&lt;&gt;""))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7">
      <formula1>IF($G87="",TRUE,AND(ISNUMBER(MATCH($G87,Source!$A$4:$A$200,0)),INDEX(Source!$A$4:$A$200,MATCH($G87,Source!$A$4:$A$200,0))&lt;&gt;""))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8">
      <formula1>IF($G88="",TRUE,AND(ISNUMBER(MATCH($G88,Source!$A$4:$A$200,0)),INDEX(Source!$A$4:$A$200,MATCH($G88,Source!$A$4:$A$200,0))&lt;&gt;""))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89">
      <formula1>IF($G89="",TRUE,AND(ISNUMBER(MATCH($G89,Source!$A$4:$A$200,0)),INDEX(Source!$A$4:$A$200,MATCH($G89,Source!$A$4:$A$200,0))&lt;&gt;""))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0">
      <formula1>IF($G90="",TRUE,AND(ISNUMBER(MATCH($G90,Source!$A$4:$A$200,0)),INDEX(Source!$A$4:$A$200,MATCH($G90,Source!$A$4:$A$200,0))&lt;&gt;""))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1">
      <formula1>IF($G91="",TRUE,AND(ISNUMBER(MATCH($G91,Source!$A$4:$A$200,0)),INDEX(Source!$A$4:$A$200,MATCH($G91,Source!$A$4:$A$200,0))&lt;&gt;""))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2">
      <formula1>IF($G92="",TRUE,AND(ISNUMBER(MATCH($G92,Source!$A$4:$A$200,0)),INDEX(Source!$A$4:$A$200,MATCH($G92,Source!$A$4:$A$200,0))&lt;&gt;""))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3">
      <formula1>IF($G93="",TRUE,AND(ISNUMBER(MATCH($G93,Source!$A$4:$A$200,0)),INDEX(Source!$A$4:$A$200,MATCH($G93,Source!$A$4:$A$200,0))&lt;&gt;""))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4">
      <formula1>IF($G94="",TRUE,AND(ISNUMBER(MATCH($G94,Source!$A$4:$A$200,0)),INDEX(Source!$A$4:$A$200,MATCH($G94,Source!$A$4:$A$200,0))&lt;&gt;""))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5">
      <formula1>IF($G95="",TRUE,AND(ISNUMBER(MATCH($G95,Source!$A$4:$A$200,0)),INDEX(Source!$A$4:$A$200,MATCH($G95,Source!$A$4:$A$200,0))&lt;&gt;""))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6">
      <formula1>IF($G96="",TRUE,AND(ISNUMBER(MATCH($G96,Source!$A$4:$A$200,0)),INDEX(Source!$A$4:$A$200,MATCH($G96,Source!$A$4:$A$200,0))&lt;&gt;""))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7">
      <formula1>IF($G97="",TRUE,AND(ISNUMBER(MATCH($G97,Source!$A$4:$A$200,0)),INDEX(Source!$A$4:$A$200,MATCH($G97,Source!$A$4:$A$200,0))&lt;&gt;""))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8">
      <formula1>IF($G98="",TRUE,AND(ISNUMBER(MATCH($G98,Source!$A$4:$A$200,0)),INDEX(Source!$A$4:$A$200,MATCH($G98,Source!$A$4:$A$200,0))&lt;&gt;""))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99">
      <formula1>IF($G99="",TRUE,AND(ISNUMBER(MATCH($G99,Source!$A$4:$A$200,0)),INDEX(Source!$A$4:$A$200,MATCH($G99,Source!$A$4:$A$200,0))&lt;&gt;""))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0">
      <formula1>IF($G100="",TRUE,AND(ISNUMBER(MATCH($G100,Source!$A$4:$A$200,0)),INDEX(Source!$A$4:$A$200,MATCH($G100,Source!$A$4:$A$200,0))&lt;&gt;""))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1">
      <formula1>IF($G101="",TRUE,AND(ISNUMBER(MATCH($G101,Source!$A$4:$A$200,0)),INDEX(Source!$A$4:$A$200,MATCH($G101,Source!$A$4:$A$200,0))&lt;&gt;""))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2">
      <formula1>IF($G102="",TRUE,AND(ISNUMBER(MATCH($G102,Source!$A$4:$A$200,0)),INDEX(Source!$A$4:$A$200,MATCH($G102,Source!$A$4:$A$200,0))&lt;&gt;""))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3">
      <formula1>IF($G103="",TRUE,AND(ISNUMBER(MATCH($G103,Source!$A$4:$A$200,0)),INDEX(Source!$A$4:$A$200,MATCH($G103,Source!$A$4:$A$200,0))&lt;&gt;""))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4">
      <formula1>IF($G104="",TRUE,AND(ISNUMBER(MATCH($G104,Source!$A$4:$A$200,0)),INDEX(Source!$A$4:$A$200,MATCH($G104,Source!$A$4:$A$200,0))&lt;&gt;""))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5">
      <formula1>IF($G105="",TRUE,AND(ISNUMBER(MATCH($G105,Source!$A$4:$A$200,0)),INDEX(Source!$A$4:$A$200,MATCH($G105,Source!$A$4:$A$200,0))&lt;&gt;""))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6">
      <formula1>IF($G106="",TRUE,AND(ISNUMBER(MATCH($G106,Source!$A$4:$A$200,0)),INDEX(Source!$A$4:$A$200,MATCH($G106,Source!$A$4:$A$200,0))&lt;&gt;""))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7">
      <formula1>IF($G107="",TRUE,AND(ISNUMBER(MATCH($G107,Source!$A$4:$A$200,0)),INDEX(Source!$A$4:$A$200,MATCH($G107,Source!$A$4:$A$200,0))&lt;&gt;""))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8">
      <formula1>IF($G108="",TRUE,AND(ISNUMBER(MATCH($G108,Source!$A$4:$A$200,0)),INDEX(Source!$A$4:$A$200,MATCH($G108,Source!$A$4:$A$200,0))&lt;&gt;""))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09">
      <formula1>IF($G109="",TRUE,AND(ISNUMBER(MATCH($G109,Source!$A$4:$A$200,0)),INDEX(Source!$A$4:$A$200,MATCH($G109,Source!$A$4:$A$200,0))&lt;&gt;""))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0">
      <formula1>IF($G110="",TRUE,AND(ISNUMBER(MATCH($G110,Source!$A$4:$A$200,0)),INDEX(Source!$A$4:$A$200,MATCH($G110,Source!$A$4:$A$200,0))&lt;&gt;""))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1">
      <formula1>IF($G111="",TRUE,AND(ISNUMBER(MATCH($G111,Source!$A$4:$A$200,0)),INDEX(Source!$A$4:$A$200,MATCH($G111,Source!$A$4:$A$200,0))&lt;&gt;""))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2">
      <formula1>IF($G112="",TRUE,AND(ISNUMBER(MATCH($G112,Source!$A$4:$A$200,0)),INDEX(Source!$A$4:$A$200,MATCH($G112,Source!$A$4:$A$200,0))&lt;&gt;""))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3">
      <formula1>IF($G113="",TRUE,AND(ISNUMBER(MATCH($G113,Source!$A$4:$A$200,0)),INDEX(Source!$A$4:$A$200,MATCH($G113,Source!$A$4:$A$200,0))&lt;&gt;""))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4">
      <formula1>IF($G114="",TRUE,AND(ISNUMBER(MATCH($G114,Source!$A$4:$A$200,0)),INDEX(Source!$A$4:$A$200,MATCH($G114,Source!$A$4:$A$200,0))&lt;&gt;""))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5">
      <formula1>IF($G115="",TRUE,AND(ISNUMBER(MATCH($G115,Source!$A$4:$A$200,0)),INDEX(Source!$A$4:$A$200,MATCH($G115,Source!$A$4:$A$200,0))&lt;&gt;""))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6">
      <formula1>IF($G116="",TRUE,AND(ISNUMBER(MATCH($G116,Source!$A$4:$A$200,0)),INDEX(Source!$A$4:$A$200,MATCH($G116,Source!$A$4:$A$200,0))&lt;&gt;""))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7">
      <formula1>IF($G117="",TRUE,AND(ISNUMBER(MATCH($G117,Source!$A$4:$A$200,0)),INDEX(Source!$A$4:$A$200,MATCH($G117,Source!$A$4:$A$200,0))&lt;&gt;""))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8">
      <formula1>IF($G118="",TRUE,AND(ISNUMBER(MATCH($G118,Source!$A$4:$A$200,0)),INDEX(Source!$A$4:$A$200,MATCH($G118,Source!$A$4:$A$200,0))&lt;&gt;""))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19">
      <formula1>IF($G119="",TRUE,AND(ISNUMBER(MATCH($G119,Source!$A$4:$A$200,0)),INDEX(Source!$A$4:$A$200,MATCH($G119,Source!$A$4:$A$200,0))&lt;&gt;""))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0">
      <formula1>IF($G120="",TRUE,AND(ISNUMBER(MATCH($G120,Source!$A$4:$A$200,0)),INDEX(Source!$A$4:$A$200,MATCH($G120,Source!$A$4:$A$200,0))&lt;&gt;""))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1">
      <formula1>IF($G121="",TRUE,AND(ISNUMBER(MATCH($G121,Source!$A$4:$A$200,0)),INDEX(Source!$A$4:$A$200,MATCH($G121,Source!$A$4:$A$200,0))&lt;&gt;""))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2">
      <formula1>IF($G122="",TRUE,AND(ISNUMBER(MATCH($G122,Source!$A$4:$A$200,0)),INDEX(Source!$A$4:$A$200,MATCH($G122,Source!$A$4:$A$200,0))&lt;&gt;""))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3">
      <formula1>IF($G123="",TRUE,AND(ISNUMBER(MATCH($G123,Source!$A$4:$A$200,0)),INDEX(Source!$A$4:$A$200,MATCH($G123,Source!$A$4:$A$200,0))&lt;&gt;""))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4">
      <formula1>IF($G124="",TRUE,AND(ISNUMBER(MATCH($G124,Source!$A$4:$A$200,0)),INDEX(Source!$A$4:$A$200,MATCH($G124,Source!$A$4:$A$200,0))&lt;&gt;""))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5">
      <formula1>IF($G125="",TRUE,AND(ISNUMBER(MATCH($G125,Source!$A$4:$A$200,0)),INDEX(Source!$A$4:$A$200,MATCH($G125,Source!$A$4:$A$200,0))&lt;&gt;""))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6">
      <formula1>IF($G126="",TRUE,AND(ISNUMBER(MATCH($G126,Source!$A$4:$A$200,0)),INDEX(Source!$A$4:$A$200,MATCH($G126,Source!$A$4:$A$200,0))&lt;&gt;""))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7">
      <formula1>IF($G127="",TRUE,AND(ISNUMBER(MATCH($G127,Source!$A$4:$A$200,0)),INDEX(Source!$A$4:$A$200,MATCH($G127,Source!$A$4:$A$200,0))&lt;&gt;""))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8">
      <formula1>IF($G128="",TRUE,AND(ISNUMBER(MATCH($G128,Source!$A$4:$A$200,0)),INDEX(Source!$A$4:$A$200,MATCH($G128,Source!$A$4:$A$200,0))&lt;&gt;""))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29">
      <formula1>IF($G129="",TRUE,AND(ISNUMBER(MATCH($G129,Source!$A$4:$A$200,0)),INDEX(Source!$A$4:$A$200,MATCH($G129,Source!$A$4:$A$200,0))&lt;&gt;""))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0">
      <formula1>IF($G130="",TRUE,AND(ISNUMBER(MATCH($G130,Source!$A$4:$A$200,0)),INDEX(Source!$A$4:$A$200,MATCH($G130,Source!$A$4:$A$200,0))&lt;&gt;""))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1">
      <formula1>IF($G131="",TRUE,AND(ISNUMBER(MATCH($G131,Source!$A$4:$A$200,0)),INDEX(Source!$A$4:$A$200,MATCH($G131,Source!$A$4:$A$200,0))&lt;&gt;""))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2">
      <formula1>IF($G132="",TRUE,AND(ISNUMBER(MATCH($G132,Source!$A$4:$A$200,0)),INDEX(Source!$A$4:$A$200,MATCH($G132,Source!$A$4:$A$200,0))&lt;&gt;""))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3">
      <formula1>IF($G133="",TRUE,AND(ISNUMBER(MATCH($G133,Source!$A$4:$A$200,0)),INDEX(Source!$A$4:$A$200,MATCH($G133,Source!$A$4:$A$200,0))&lt;&gt;""))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4">
      <formula1>IF($G134="",TRUE,AND(ISNUMBER(MATCH($G134,Source!$A$4:$A$200,0)),INDEX(Source!$A$4:$A$200,MATCH($G134,Source!$A$4:$A$200,0))&lt;&gt;""))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5">
      <formula1>IF($G135="",TRUE,AND(ISNUMBER(MATCH($G135,Source!$A$4:$A$200,0)),INDEX(Source!$A$4:$A$200,MATCH($G135,Source!$A$4:$A$200,0))&lt;&gt;""))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6">
      <formula1>IF($G136="",TRUE,AND(ISNUMBER(MATCH($G136,Source!$A$4:$A$200,0)),INDEX(Source!$A$4:$A$200,MATCH($G136,Source!$A$4:$A$200,0))&lt;&gt;""))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7">
      <formula1>IF($G137="",TRUE,AND(ISNUMBER(MATCH($G137,Source!$A$4:$A$200,0)),INDEX(Source!$A$4:$A$200,MATCH($G137,Source!$A$4:$A$200,0))&lt;&gt;""))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8">
      <formula1>IF($G138="",TRUE,AND(ISNUMBER(MATCH($G138,Source!$A$4:$A$200,0)),INDEX(Source!$A$4:$A$200,MATCH($G138,Source!$A$4:$A$200,0))&lt;&gt;""))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39">
      <formula1>IF($G139="",TRUE,AND(ISNUMBER(MATCH($G139,Source!$A$4:$A$200,0)),INDEX(Source!$A$4:$A$200,MATCH($G139,Source!$A$4:$A$200,0))&lt;&gt;""))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0">
      <formula1>IF($G140="",TRUE,AND(ISNUMBER(MATCH($G140,Source!$A$4:$A$200,0)),INDEX(Source!$A$4:$A$200,MATCH($G140,Source!$A$4:$A$200,0))&lt;&gt;""))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1">
      <formula1>IF($G141="",TRUE,AND(ISNUMBER(MATCH($G141,Source!$A$4:$A$200,0)),INDEX(Source!$A$4:$A$200,MATCH($G141,Source!$A$4:$A$200,0))&lt;&gt;""))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2">
      <formula1>IF($G142="",TRUE,AND(ISNUMBER(MATCH($G142,Source!$A$4:$A$200,0)),INDEX(Source!$A$4:$A$200,MATCH($G142,Source!$A$4:$A$200,0))&lt;&gt;""))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3">
      <formula1>IF($G143="",TRUE,AND(ISNUMBER(MATCH($G143,Source!$A$4:$A$200,0)),INDEX(Source!$A$4:$A$200,MATCH($G143,Source!$A$4:$A$200,0))&lt;&gt;""))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4">
      <formula1>IF($G144="",TRUE,AND(ISNUMBER(MATCH($G144,Source!$A$4:$A$200,0)),INDEX(Source!$A$4:$A$200,MATCH($G144,Source!$A$4:$A$200,0))&lt;&gt;""))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5">
      <formula1>IF($G145="",TRUE,AND(ISNUMBER(MATCH($G145,Source!$A$4:$A$200,0)),INDEX(Source!$A$4:$A$200,MATCH($G145,Source!$A$4:$A$200,0))&lt;&gt;""))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6">
      <formula1>IF($G146="",TRUE,AND(ISNUMBER(MATCH($G146,Source!$A$4:$A$200,0)),INDEX(Source!$A$4:$A$200,MATCH($G146,Source!$A$4:$A$200,0))&lt;&gt;""))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7">
      <formula1>IF($G147="",TRUE,AND(ISNUMBER(MATCH($G147,Source!$A$4:$A$200,0)),INDEX(Source!$A$4:$A$200,MATCH($G147,Source!$A$4:$A$200,0))&lt;&gt;""))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8">
      <formula1>IF($G148="",TRUE,AND(ISNUMBER(MATCH($G148,Source!$A$4:$A$200,0)),INDEX(Source!$A$4:$A$200,MATCH($G148,Source!$A$4:$A$200,0))&lt;&gt;""))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49">
      <formula1>IF($G149="",TRUE,AND(ISNUMBER(MATCH($G149,Source!$A$4:$A$200,0)),INDEX(Source!$A$4:$A$200,MATCH($G149,Source!$A$4:$A$200,0))&lt;&gt;""))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0">
      <formula1>IF($G150="",TRUE,AND(ISNUMBER(MATCH($G150,Source!$A$4:$A$200,0)),INDEX(Source!$A$4:$A$200,MATCH($G150,Source!$A$4:$A$200,0))&lt;&gt;""))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1">
      <formula1>IF($G151="",TRUE,AND(ISNUMBER(MATCH($G151,Source!$A$4:$A$200,0)),INDEX(Source!$A$4:$A$200,MATCH($G151,Source!$A$4:$A$200,0))&lt;&gt;""))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2">
      <formula1>IF($G152="",TRUE,AND(ISNUMBER(MATCH($G152,Source!$A$4:$A$200,0)),INDEX(Source!$A$4:$A$200,MATCH($G152,Source!$A$4:$A$200,0))&lt;&gt;""))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3">
      <formula1>IF($G153="",TRUE,AND(ISNUMBER(MATCH($G153,Source!$A$4:$A$200,0)),INDEX(Source!$A$4:$A$200,MATCH($G153,Source!$A$4:$A$200,0))&lt;&gt;""))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4">
      <formula1>IF($G154="",TRUE,AND(ISNUMBER(MATCH($G154,Source!$A$4:$A$200,0)),INDEX(Source!$A$4:$A$200,MATCH($G154,Source!$A$4:$A$200,0))&lt;&gt;""))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5">
      <formula1>IF($G155="",TRUE,AND(ISNUMBER(MATCH($G155,Source!$A$4:$A$200,0)),INDEX(Source!$A$4:$A$200,MATCH($G155,Source!$A$4:$A$200,0))&lt;&gt;""))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6">
      <formula1>IF($G156="",TRUE,AND(ISNUMBER(MATCH($G156,Source!$A$4:$A$200,0)),INDEX(Source!$A$4:$A$200,MATCH($G156,Source!$A$4:$A$200,0))&lt;&gt;""))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7">
      <formula1>IF($G157="",TRUE,AND(ISNUMBER(MATCH($G157,Source!$A$4:$A$200,0)),INDEX(Source!$A$4:$A$200,MATCH($G157,Source!$A$4:$A$200,0))&lt;&gt;""))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8">
      <formula1>IF($G158="",TRUE,AND(ISNUMBER(MATCH($G158,Source!$A$4:$A$200,0)),INDEX(Source!$A$4:$A$200,MATCH($G158,Source!$A$4:$A$200,0))&lt;&gt;""))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59">
      <formula1>IF($G159="",TRUE,AND(ISNUMBER(MATCH($G159,Source!$A$4:$A$200,0)),INDEX(Source!$A$4:$A$200,MATCH($G159,Source!$A$4:$A$200,0))&lt;&gt;""))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0">
      <formula1>IF($G160="",TRUE,AND(ISNUMBER(MATCH($G160,Source!$A$4:$A$200,0)),INDEX(Source!$A$4:$A$200,MATCH($G160,Source!$A$4:$A$200,0))&lt;&gt;""))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1">
      <formula1>IF($G161="",TRUE,AND(ISNUMBER(MATCH($G161,Source!$A$4:$A$200,0)),INDEX(Source!$A$4:$A$200,MATCH($G161,Source!$A$4:$A$200,0))&lt;&gt;""))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2">
      <formula1>IF($G162="",TRUE,AND(ISNUMBER(MATCH($G162,Source!$A$4:$A$200,0)),INDEX(Source!$A$4:$A$200,MATCH($G162,Source!$A$4:$A$200,0))&lt;&gt;""))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3">
      <formula1>IF($G163="",TRUE,AND(ISNUMBER(MATCH($G163,Source!$A$4:$A$200,0)),INDEX(Source!$A$4:$A$200,MATCH($G163,Source!$A$4:$A$200,0))&lt;&gt;""))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4">
      <formula1>IF($G164="",TRUE,AND(ISNUMBER(MATCH($G164,Source!$A$4:$A$200,0)),INDEX(Source!$A$4:$A$200,MATCH($G164,Source!$A$4:$A$200,0))&lt;&gt;""))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5">
      <formula1>IF($G165="",TRUE,AND(ISNUMBER(MATCH($G165,Source!$A$4:$A$200,0)),INDEX(Source!$A$4:$A$200,MATCH($G165,Source!$A$4:$A$200,0))&lt;&gt;""))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6">
      <formula1>IF($G166="",TRUE,AND(ISNUMBER(MATCH($G166,Source!$A$4:$A$200,0)),INDEX(Source!$A$4:$A$200,MATCH($G166,Source!$A$4:$A$200,0))&lt;&gt;""))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7">
      <formula1>IF($G167="",TRUE,AND(ISNUMBER(MATCH($G167,Source!$A$4:$A$200,0)),INDEX(Source!$A$4:$A$200,MATCH($G167,Source!$A$4:$A$200,0))&lt;&gt;""))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8">
      <formula1>IF($G168="",TRUE,AND(ISNUMBER(MATCH($G168,Source!$A$4:$A$200,0)),INDEX(Source!$A$4:$A$200,MATCH($G168,Source!$A$4:$A$200,0))&lt;&gt;""))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69">
      <formula1>IF($G169="",TRUE,AND(ISNUMBER(MATCH($G169,Source!$A$4:$A$200,0)),INDEX(Source!$A$4:$A$200,MATCH($G169,Source!$A$4:$A$200,0))&lt;&gt;""))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0">
      <formula1>IF($G170="",TRUE,AND(ISNUMBER(MATCH($G170,Source!$A$4:$A$200,0)),INDEX(Source!$A$4:$A$200,MATCH($G170,Source!$A$4:$A$200,0))&lt;&gt;""))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1">
      <formula1>IF($G171="",TRUE,AND(ISNUMBER(MATCH($G171,Source!$A$4:$A$200,0)),INDEX(Source!$A$4:$A$200,MATCH($G171,Source!$A$4:$A$200,0))&lt;&gt;""))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2">
      <formula1>IF($G172="",TRUE,AND(ISNUMBER(MATCH($G172,Source!$A$4:$A$200,0)),INDEX(Source!$A$4:$A$200,MATCH($G172,Source!$A$4:$A$200,0))&lt;&gt;""))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3">
      <formula1>IF($G173="",TRUE,AND(ISNUMBER(MATCH($G173,Source!$A$4:$A$200,0)),INDEX(Source!$A$4:$A$200,MATCH($G173,Source!$A$4:$A$200,0))&lt;&gt;""))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4">
      <formula1>IF($G174="",TRUE,AND(ISNUMBER(MATCH($G174,Source!$A$4:$A$200,0)),INDEX(Source!$A$4:$A$200,MATCH($G174,Source!$A$4:$A$200,0))&lt;&gt;""))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5">
      <formula1>IF($G175="",TRUE,AND(ISNUMBER(MATCH($G175,Source!$A$4:$A$200,0)),INDEX(Source!$A$4:$A$200,MATCH($G175,Source!$A$4:$A$200,0))&lt;&gt;""))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6">
      <formula1>IF($G176="",TRUE,AND(ISNUMBER(MATCH($G176,Source!$A$4:$A$200,0)),INDEX(Source!$A$4:$A$200,MATCH($G176,Source!$A$4:$A$200,0))&lt;&gt;""))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7">
      <formula1>IF($G177="",TRUE,AND(ISNUMBER(MATCH($G177,Source!$A$4:$A$200,0)),INDEX(Source!$A$4:$A$200,MATCH($G177,Source!$A$4:$A$200,0))&lt;&gt;""))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8">
      <formula1>IF($G178="",TRUE,AND(ISNUMBER(MATCH($G178,Source!$A$4:$A$200,0)),INDEX(Source!$A$4:$A$200,MATCH($G178,Source!$A$4:$A$200,0))&lt;&gt;""))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79">
      <formula1>IF($G179="",TRUE,AND(ISNUMBER(MATCH($G179,Source!$A$4:$A$200,0)),INDEX(Source!$A$4:$A$200,MATCH($G179,Source!$A$4:$A$200,0))&lt;&gt;""))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0">
      <formula1>IF($G180="",TRUE,AND(ISNUMBER(MATCH($G180,Source!$A$4:$A$200,0)),INDEX(Source!$A$4:$A$200,MATCH($G180,Source!$A$4:$A$200,0))&lt;&gt;""))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1">
      <formula1>IF($G181="",TRUE,AND(ISNUMBER(MATCH($G181,Source!$A$4:$A$200,0)),INDEX(Source!$A$4:$A$200,MATCH($G181,Source!$A$4:$A$200,0))&lt;&gt;""))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2">
      <formula1>IF($G182="",TRUE,AND(ISNUMBER(MATCH($G182,Source!$A$4:$A$200,0)),INDEX(Source!$A$4:$A$200,MATCH($G182,Source!$A$4:$A$200,0))&lt;&gt;""))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3">
      <formula1>IF($G183="",TRUE,AND(ISNUMBER(MATCH($G183,Source!$A$4:$A$200,0)),INDEX(Source!$A$4:$A$200,MATCH($G183,Source!$A$4:$A$200,0))&lt;&gt;""))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4">
      <formula1>IF($G184="",TRUE,AND(ISNUMBER(MATCH($G184,Source!$A$4:$A$200,0)),INDEX(Source!$A$4:$A$200,MATCH($G184,Source!$A$4:$A$200,0))&lt;&gt;""))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5">
      <formula1>IF($G185="",TRUE,AND(ISNUMBER(MATCH($G185,Source!$A$4:$A$200,0)),INDEX(Source!$A$4:$A$200,MATCH($G185,Source!$A$4:$A$200,0))&lt;&gt;""))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6">
      <formula1>IF($G186="",TRUE,AND(ISNUMBER(MATCH($G186,Source!$A$4:$A$200,0)),INDEX(Source!$A$4:$A$200,MATCH($G186,Source!$A$4:$A$200,0))&lt;&gt;""))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7">
      <formula1>IF($G187="",TRUE,AND(ISNUMBER(MATCH($G187,Source!$A$4:$A$200,0)),INDEX(Source!$A$4:$A$200,MATCH($G187,Source!$A$4:$A$200,0))&lt;&gt;""))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8">
      <formula1>IF($G188="",TRUE,AND(ISNUMBER(MATCH($G188,Source!$A$4:$A$200,0)),INDEX(Source!$A$4:$A$200,MATCH($G188,Source!$A$4:$A$200,0))&lt;&gt;""))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89">
      <formula1>IF($G189="",TRUE,AND(ISNUMBER(MATCH($G189,Source!$A$4:$A$200,0)),INDEX(Source!$A$4:$A$200,MATCH($G189,Source!$A$4:$A$200,0))&lt;&gt;""))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0">
      <formula1>IF($G190="",TRUE,AND(ISNUMBER(MATCH($G190,Source!$A$4:$A$200,0)),INDEX(Source!$A$4:$A$200,MATCH($G190,Source!$A$4:$A$200,0))&lt;&gt;""))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1">
      <formula1>IF($G191="",TRUE,AND(ISNUMBER(MATCH($G191,Source!$A$4:$A$200,0)),INDEX(Source!$A$4:$A$200,MATCH($G191,Source!$A$4:$A$200,0))&lt;&gt;""))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2">
      <formula1>IF($G192="",TRUE,AND(ISNUMBER(MATCH($G192,Source!$A$4:$A$200,0)),INDEX(Source!$A$4:$A$200,MATCH($G192,Source!$A$4:$A$200,0))&lt;&gt;""))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3">
      <formula1>IF($G193="",TRUE,AND(ISNUMBER(MATCH($G193,Source!$A$4:$A$200,0)),INDEX(Source!$A$4:$A$200,MATCH($G193,Source!$A$4:$A$200,0))&lt;&gt;""))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4">
      <formula1>IF($G194="",TRUE,AND(ISNUMBER(MATCH($G194,Source!$A$4:$A$200,0)),INDEX(Source!$A$4:$A$200,MATCH($G194,Source!$A$4:$A$200,0))&lt;&gt;""))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5">
      <formula1>IF($G195="",TRUE,AND(ISNUMBER(MATCH($G195,Source!$A$4:$A$200,0)),INDEX(Source!$A$4:$A$200,MATCH($G195,Source!$A$4:$A$200,0))&lt;&gt;""))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6">
      <formula1>IF($G196="",TRUE,AND(ISNUMBER(MATCH($G196,Source!$A$4:$A$200,0)),INDEX(Source!$A$4:$A$200,MATCH($G196,Source!$A$4:$A$200,0))&lt;&gt;""))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7">
      <formula1>IF($G197="",TRUE,AND(ISNUMBER(MATCH($G197,Source!$A$4:$A$200,0)),INDEX(Source!$A$4:$A$200,MATCH($G197,Source!$A$4:$A$200,0))&lt;&gt;""))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8">
      <formula1>IF($G198="",TRUE,AND(ISNUMBER(MATCH($G198,Source!$A$4:$A$200,0)),INDEX(Source!$A$4:$A$200,MATCH($G198,Source!$A$4:$A$200,0))&lt;&gt;""))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199">
      <formula1>IF($G199="",TRUE,AND(ISNUMBER(MATCH($G199,Source!$A$4:$A$200,0)),INDEX(Source!$A$4:$A$200,MATCH($G199,Source!$A$4:$A$200,0))&lt;&gt;""))</formula1>
    </dataValidation>
    <dataValidation type="custom" allowBlank="1" showInputMessage="1" showErrorMessage="1" errorTitle="Unknown source_tag" error="Enter a source_tag defined in the Source sheet with its required fields filled." sqref="G200">
      <formula1>IF($G200="",TRUE,AND(ISNUMBER(MATCH($G200,Source!$A$4:$A$200,0)),INDEX(Source!$A$4:$A$200,MATCH($G200,Source!$A$4:$A$200,0))&lt;&gt;""))</formula1>
    </dataValidation>
    <dataValidation type="list" allowBlank="1" showInputMessage="1" showErrorMessage="1" sqref="H4:H200">
      <formula1>Method!$A$4:$A$200</formula1>
    </dataValidation>
    <dataValidation type="custom" allowBlank="1" showInputMessage="1" showErrorMessage="1" errorTitle="Unknown method_tag" error="Enter a method_tag defined in the Method sheet with its required fields filled." sqref="H4">
      <formula1>IF($H4="",TRUE,AND(ISNUMBER(MATCH($H4,Method!$A$4:$A$200,0)),INDEX(Method!$A$4:$A$200,MATCH($H4,Method!$A$4:$A$200,0))&lt;&gt;"",INDEX(Method!$B$4:$B$200,MATCH($H4,Method!$A$4:$A$200,0))&lt;&gt;"",INDEX(Method!$C$4:$C$200,MATCH($H4,Method!$A$4:$A$200,0))&lt;&gt;""))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">
      <formula1>IF($H5="",TRUE,AND(ISNUMBER(MATCH($H5,Method!$A$4:$A$200,0)),INDEX(Method!$A$4:$A$200,MATCH($H5,Method!$A$4:$A$200,0))&lt;&gt;"",INDEX(Method!$B$4:$B$200,MATCH($H5,Method!$A$4:$A$200,0))&lt;&gt;"",INDEX(Method!$C$4:$C$200,MATCH($H5,Method!$A$4:$A$200,0))&lt;&gt;""))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">
      <formula1>IF($H6="",TRUE,AND(ISNUMBER(MATCH($H6,Method!$A$4:$A$200,0)),INDEX(Method!$A$4:$A$200,MATCH($H6,Method!$A$4:$A$200,0))&lt;&gt;"",INDEX(Method!$B$4:$B$200,MATCH($H6,Method!$A$4:$A$200,0))&lt;&gt;"",INDEX(Method!$C$4:$C$200,MATCH($H6,Method!$A$4:$A$200,0))&lt;&gt;""))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">
      <formula1>IF($H7="",TRUE,AND(ISNUMBER(MATCH($H7,Method!$A$4:$A$200,0)),INDEX(Method!$A$4:$A$200,MATCH($H7,Method!$A$4:$A$200,0))&lt;&gt;"",INDEX(Method!$B$4:$B$200,MATCH($H7,Method!$A$4:$A$200,0))&lt;&gt;"",INDEX(Method!$C$4:$C$200,MATCH($H7,Method!$A$4:$A$200,0))&lt;&gt;""))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">
      <formula1>IF($H8="",TRUE,AND(ISNUMBER(MATCH($H8,Method!$A$4:$A$200,0)),INDEX(Method!$A$4:$A$200,MATCH($H8,Method!$A$4:$A$200,0))&lt;&gt;"",INDEX(Method!$B$4:$B$200,MATCH($H8,Method!$A$4:$A$200,0))&lt;&gt;"",INDEX(Method!$C$4:$C$200,MATCH($H8,Method!$A$4:$A$200,0))&lt;&gt;""))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">
      <formula1>IF($H9="",TRUE,AND(ISNUMBER(MATCH($H9,Method!$A$4:$A$200,0)),INDEX(Method!$A$4:$A$200,MATCH($H9,Method!$A$4:$A$200,0))&lt;&gt;"",INDEX(Method!$B$4:$B$200,MATCH($H9,Method!$A$4:$A$200,0))&lt;&gt;"",INDEX(Method!$C$4:$C$200,MATCH($H9,Method!$A$4:$A$200,0))&lt;&gt;""))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">
      <formula1>IF($H10="",TRUE,AND(ISNUMBER(MATCH($H10,Method!$A$4:$A$200,0)),INDEX(Method!$A$4:$A$200,MATCH($H10,Method!$A$4:$A$200,0))&lt;&gt;"",INDEX(Method!$B$4:$B$200,MATCH($H10,Method!$A$4:$A$200,0))&lt;&gt;"",INDEX(Method!$C$4:$C$200,MATCH($H10,Method!$A$4:$A$200,0))&lt;&gt;""))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">
      <formula1>IF($H11="",TRUE,AND(ISNUMBER(MATCH($H11,Method!$A$4:$A$200,0)),INDEX(Method!$A$4:$A$200,MATCH($H11,Method!$A$4:$A$200,0))&lt;&gt;"",INDEX(Method!$B$4:$B$200,MATCH($H11,Method!$A$4:$A$200,0))&lt;&gt;"",INDEX(Method!$C$4:$C$200,MATCH($H11,Method!$A$4:$A$200,0))&lt;&gt;""))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">
      <formula1>IF($H12="",TRUE,AND(ISNUMBER(MATCH($H12,Method!$A$4:$A$200,0)),INDEX(Method!$A$4:$A$200,MATCH($H12,Method!$A$4:$A$200,0))&lt;&gt;"",INDEX(Method!$B$4:$B$200,MATCH($H12,Method!$A$4:$A$200,0))&lt;&gt;"",INDEX(Method!$C$4:$C$200,MATCH($H12,Method!$A$4:$A$200,0))&lt;&gt;""))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">
      <formula1>IF($H13="",TRUE,AND(ISNUMBER(MATCH($H13,Method!$A$4:$A$200,0)),INDEX(Method!$A$4:$A$200,MATCH($H13,Method!$A$4:$A$200,0))&lt;&gt;"",INDEX(Method!$B$4:$B$200,MATCH($H13,Method!$A$4:$A$200,0))&lt;&gt;"",INDEX(Method!$C$4:$C$200,MATCH($H13,Method!$A$4:$A$200,0))&lt;&gt;""))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">
      <formula1>IF($H14="",TRUE,AND(ISNUMBER(MATCH($H14,Method!$A$4:$A$200,0)),INDEX(Method!$A$4:$A$200,MATCH($H14,Method!$A$4:$A$200,0))&lt;&gt;"",INDEX(Method!$B$4:$B$200,MATCH($H14,Method!$A$4:$A$200,0))&lt;&gt;"",INDEX(Method!$C$4:$C$200,MATCH($H14,Method!$A$4:$A$200,0))&lt;&gt;""))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">
      <formula1>IF($H15="",TRUE,AND(ISNUMBER(MATCH($H15,Method!$A$4:$A$200,0)),INDEX(Method!$A$4:$A$200,MATCH($H15,Method!$A$4:$A$200,0))&lt;&gt;"",INDEX(Method!$B$4:$B$200,MATCH($H15,Method!$A$4:$A$200,0))&lt;&gt;"",INDEX(Method!$C$4:$C$200,MATCH($H15,Method!$A$4:$A$200,0))&lt;&gt;""))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">
      <formula1>IF($H16="",TRUE,AND(ISNUMBER(MATCH($H16,Method!$A$4:$A$200,0)),INDEX(Method!$A$4:$A$200,MATCH($H16,Method!$A$4:$A$200,0))&lt;&gt;"",INDEX(Method!$B$4:$B$200,MATCH($H16,Method!$A$4:$A$200,0))&lt;&gt;"",INDEX(Method!$C$4:$C$200,MATCH($H16,Method!$A$4:$A$200,0))&lt;&gt;""))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">
      <formula1>IF($H17="",TRUE,AND(ISNUMBER(MATCH($H17,Method!$A$4:$A$200,0)),INDEX(Method!$A$4:$A$200,MATCH($H17,Method!$A$4:$A$200,0))&lt;&gt;"",INDEX(Method!$B$4:$B$200,MATCH($H17,Method!$A$4:$A$200,0))&lt;&gt;"",INDEX(Method!$C$4:$C$200,MATCH($H17,Method!$A$4:$A$200,0))&lt;&gt;""))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">
      <formula1>IF($H18="",TRUE,AND(ISNUMBER(MATCH($H18,Method!$A$4:$A$200,0)),INDEX(Method!$A$4:$A$200,MATCH($H18,Method!$A$4:$A$200,0))&lt;&gt;"",INDEX(Method!$B$4:$B$200,MATCH($H18,Method!$A$4:$A$200,0))&lt;&gt;"",INDEX(Method!$C$4:$C$200,MATCH($H18,Method!$A$4:$A$200,0))&lt;&gt;""))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">
      <formula1>IF($H19="",TRUE,AND(ISNUMBER(MATCH($H19,Method!$A$4:$A$200,0)),INDEX(Method!$A$4:$A$200,MATCH($H19,Method!$A$4:$A$200,0))&lt;&gt;"",INDEX(Method!$B$4:$B$200,MATCH($H19,Method!$A$4:$A$200,0))&lt;&gt;"",INDEX(Method!$C$4:$C$200,MATCH($H19,Method!$A$4:$A$200,0))&lt;&gt;""))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0">
      <formula1>IF($H20="",TRUE,AND(ISNUMBER(MATCH($H20,Method!$A$4:$A$200,0)),INDEX(Method!$A$4:$A$200,MATCH($H20,Method!$A$4:$A$200,0))&lt;&gt;"",INDEX(Method!$B$4:$B$200,MATCH($H20,Method!$A$4:$A$200,0))&lt;&gt;"",INDEX(Method!$C$4:$C$200,MATCH($H20,Method!$A$4:$A$200,0))&lt;&gt;""))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1">
      <formula1>IF($H21="",TRUE,AND(ISNUMBER(MATCH($H21,Method!$A$4:$A$200,0)),INDEX(Method!$A$4:$A$200,MATCH($H21,Method!$A$4:$A$200,0))&lt;&gt;"",INDEX(Method!$B$4:$B$200,MATCH($H21,Method!$A$4:$A$200,0))&lt;&gt;"",INDEX(Method!$C$4:$C$200,MATCH($H21,Method!$A$4:$A$200,0))&lt;&gt;""))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2">
      <formula1>IF($H22="",TRUE,AND(ISNUMBER(MATCH($H22,Method!$A$4:$A$200,0)),INDEX(Method!$A$4:$A$200,MATCH($H22,Method!$A$4:$A$200,0))&lt;&gt;"",INDEX(Method!$B$4:$B$200,MATCH($H22,Method!$A$4:$A$200,0))&lt;&gt;"",INDEX(Method!$C$4:$C$200,MATCH($H22,Method!$A$4:$A$200,0))&lt;&gt;""))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3">
      <formula1>IF($H23="",TRUE,AND(ISNUMBER(MATCH($H23,Method!$A$4:$A$200,0)),INDEX(Method!$A$4:$A$200,MATCH($H23,Method!$A$4:$A$200,0))&lt;&gt;"",INDEX(Method!$B$4:$B$200,MATCH($H23,Method!$A$4:$A$200,0))&lt;&gt;"",INDEX(Method!$C$4:$C$200,MATCH($H23,Method!$A$4:$A$200,0))&lt;&gt;""))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4">
      <formula1>IF($H24="",TRUE,AND(ISNUMBER(MATCH($H24,Method!$A$4:$A$200,0)),INDEX(Method!$A$4:$A$200,MATCH($H24,Method!$A$4:$A$200,0))&lt;&gt;"",INDEX(Method!$B$4:$B$200,MATCH($H24,Method!$A$4:$A$200,0))&lt;&gt;"",INDEX(Method!$C$4:$C$200,MATCH($H24,Method!$A$4:$A$200,0))&lt;&gt;""))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5">
      <formula1>IF($H25="",TRUE,AND(ISNUMBER(MATCH($H25,Method!$A$4:$A$200,0)),INDEX(Method!$A$4:$A$200,MATCH($H25,Method!$A$4:$A$200,0))&lt;&gt;"",INDEX(Method!$B$4:$B$200,MATCH($H25,Method!$A$4:$A$200,0))&lt;&gt;"",INDEX(Method!$C$4:$C$200,MATCH($H25,Method!$A$4:$A$200,0))&lt;&gt;""))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6">
      <formula1>IF($H26="",TRUE,AND(ISNUMBER(MATCH($H26,Method!$A$4:$A$200,0)),INDEX(Method!$A$4:$A$200,MATCH($H26,Method!$A$4:$A$200,0))&lt;&gt;"",INDEX(Method!$B$4:$B$200,MATCH($H26,Method!$A$4:$A$200,0))&lt;&gt;"",INDEX(Method!$C$4:$C$200,MATCH($H26,Method!$A$4:$A$200,0))&lt;&gt;""))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7">
      <formula1>IF($H27="",TRUE,AND(ISNUMBER(MATCH($H27,Method!$A$4:$A$200,0)),INDEX(Method!$A$4:$A$200,MATCH($H27,Method!$A$4:$A$200,0))&lt;&gt;"",INDEX(Method!$B$4:$B$200,MATCH($H27,Method!$A$4:$A$200,0))&lt;&gt;"",INDEX(Method!$C$4:$C$200,MATCH($H27,Method!$A$4:$A$200,0))&lt;&gt;""))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8">
      <formula1>IF($H28="",TRUE,AND(ISNUMBER(MATCH($H28,Method!$A$4:$A$200,0)),INDEX(Method!$A$4:$A$200,MATCH($H28,Method!$A$4:$A$200,0))&lt;&gt;"",INDEX(Method!$B$4:$B$200,MATCH($H28,Method!$A$4:$A$200,0))&lt;&gt;"",INDEX(Method!$C$4:$C$200,MATCH($H28,Method!$A$4:$A$200,0))&lt;&gt;""))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9">
      <formula1>IF($H29="",TRUE,AND(ISNUMBER(MATCH($H29,Method!$A$4:$A$200,0)),INDEX(Method!$A$4:$A$200,MATCH($H29,Method!$A$4:$A$200,0))&lt;&gt;"",INDEX(Method!$B$4:$B$200,MATCH($H29,Method!$A$4:$A$200,0))&lt;&gt;"",INDEX(Method!$C$4:$C$200,MATCH($H29,Method!$A$4:$A$200,0))&lt;&gt;""))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0">
      <formula1>IF($H30="",TRUE,AND(ISNUMBER(MATCH($H30,Method!$A$4:$A$200,0)),INDEX(Method!$A$4:$A$200,MATCH($H30,Method!$A$4:$A$200,0))&lt;&gt;"",INDEX(Method!$B$4:$B$200,MATCH($H30,Method!$A$4:$A$200,0))&lt;&gt;"",INDEX(Method!$C$4:$C$200,MATCH($H30,Method!$A$4:$A$200,0))&lt;&gt;""))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1">
      <formula1>IF($H31="",TRUE,AND(ISNUMBER(MATCH($H31,Method!$A$4:$A$200,0)),INDEX(Method!$A$4:$A$200,MATCH($H31,Method!$A$4:$A$200,0))&lt;&gt;"",INDEX(Method!$B$4:$B$200,MATCH($H31,Method!$A$4:$A$200,0))&lt;&gt;"",INDEX(Method!$C$4:$C$200,MATCH($H31,Method!$A$4:$A$200,0))&lt;&gt;""))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2">
      <formula1>IF($H32="",TRUE,AND(ISNUMBER(MATCH($H32,Method!$A$4:$A$200,0)),INDEX(Method!$A$4:$A$200,MATCH($H32,Method!$A$4:$A$200,0))&lt;&gt;"",INDEX(Method!$B$4:$B$200,MATCH($H32,Method!$A$4:$A$200,0))&lt;&gt;"",INDEX(Method!$C$4:$C$200,MATCH($H32,Method!$A$4:$A$200,0))&lt;&gt;""))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3">
      <formula1>IF($H33="",TRUE,AND(ISNUMBER(MATCH($H33,Method!$A$4:$A$200,0)),INDEX(Method!$A$4:$A$200,MATCH($H33,Method!$A$4:$A$200,0))&lt;&gt;"",INDEX(Method!$B$4:$B$200,MATCH($H33,Method!$A$4:$A$200,0))&lt;&gt;"",INDEX(Method!$C$4:$C$200,MATCH($H33,Method!$A$4:$A$200,0))&lt;&gt;""))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4">
      <formula1>IF($H34="",TRUE,AND(ISNUMBER(MATCH($H34,Method!$A$4:$A$200,0)),INDEX(Method!$A$4:$A$200,MATCH($H34,Method!$A$4:$A$200,0))&lt;&gt;"",INDEX(Method!$B$4:$B$200,MATCH($H34,Method!$A$4:$A$200,0))&lt;&gt;"",INDEX(Method!$C$4:$C$200,MATCH($H34,Method!$A$4:$A$200,0))&lt;&gt;""))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5">
      <formula1>IF($H35="",TRUE,AND(ISNUMBER(MATCH($H35,Method!$A$4:$A$200,0)),INDEX(Method!$A$4:$A$200,MATCH($H35,Method!$A$4:$A$200,0))&lt;&gt;"",INDEX(Method!$B$4:$B$200,MATCH($H35,Method!$A$4:$A$200,0))&lt;&gt;"",INDEX(Method!$C$4:$C$200,MATCH($H35,Method!$A$4:$A$200,0))&lt;&gt;""))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6">
      <formula1>IF($H36="",TRUE,AND(ISNUMBER(MATCH($H36,Method!$A$4:$A$200,0)),INDEX(Method!$A$4:$A$200,MATCH($H36,Method!$A$4:$A$200,0))&lt;&gt;"",INDEX(Method!$B$4:$B$200,MATCH($H36,Method!$A$4:$A$200,0))&lt;&gt;"",INDEX(Method!$C$4:$C$200,MATCH($H36,Method!$A$4:$A$200,0))&lt;&gt;""))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7">
      <formula1>IF($H37="",TRUE,AND(ISNUMBER(MATCH($H37,Method!$A$4:$A$200,0)),INDEX(Method!$A$4:$A$200,MATCH($H37,Method!$A$4:$A$200,0))&lt;&gt;"",INDEX(Method!$B$4:$B$200,MATCH($H37,Method!$A$4:$A$200,0))&lt;&gt;"",INDEX(Method!$C$4:$C$200,MATCH($H37,Method!$A$4:$A$200,0))&lt;&gt;""))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8">
      <formula1>IF($H38="",TRUE,AND(ISNUMBER(MATCH($H38,Method!$A$4:$A$200,0)),INDEX(Method!$A$4:$A$200,MATCH($H38,Method!$A$4:$A$200,0))&lt;&gt;"",INDEX(Method!$B$4:$B$200,MATCH($H38,Method!$A$4:$A$200,0))&lt;&gt;"",INDEX(Method!$C$4:$C$200,MATCH($H38,Method!$A$4:$A$200,0))&lt;&gt;""))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39">
      <formula1>IF($H39="",TRUE,AND(ISNUMBER(MATCH($H39,Method!$A$4:$A$200,0)),INDEX(Method!$A$4:$A$200,MATCH($H39,Method!$A$4:$A$200,0))&lt;&gt;"",INDEX(Method!$B$4:$B$200,MATCH($H39,Method!$A$4:$A$200,0))&lt;&gt;"",INDEX(Method!$C$4:$C$200,MATCH($H39,Method!$A$4:$A$200,0))&lt;&gt;""))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0">
      <formula1>IF($H40="",TRUE,AND(ISNUMBER(MATCH($H40,Method!$A$4:$A$200,0)),INDEX(Method!$A$4:$A$200,MATCH($H40,Method!$A$4:$A$200,0))&lt;&gt;"",INDEX(Method!$B$4:$B$200,MATCH($H40,Method!$A$4:$A$200,0))&lt;&gt;"",INDEX(Method!$C$4:$C$200,MATCH($H40,Method!$A$4:$A$200,0))&lt;&gt;""))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1">
      <formula1>IF($H41="",TRUE,AND(ISNUMBER(MATCH($H41,Method!$A$4:$A$200,0)),INDEX(Method!$A$4:$A$200,MATCH($H41,Method!$A$4:$A$200,0))&lt;&gt;"",INDEX(Method!$B$4:$B$200,MATCH($H41,Method!$A$4:$A$200,0))&lt;&gt;"",INDEX(Method!$C$4:$C$200,MATCH($H41,Method!$A$4:$A$200,0))&lt;&gt;""))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2">
      <formula1>IF($H42="",TRUE,AND(ISNUMBER(MATCH($H42,Method!$A$4:$A$200,0)),INDEX(Method!$A$4:$A$200,MATCH($H42,Method!$A$4:$A$200,0))&lt;&gt;"",INDEX(Method!$B$4:$B$200,MATCH($H42,Method!$A$4:$A$200,0))&lt;&gt;"",INDEX(Method!$C$4:$C$200,MATCH($H42,Method!$A$4:$A$200,0))&lt;&gt;""))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3">
      <formula1>IF($H43="",TRUE,AND(ISNUMBER(MATCH($H43,Method!$A$4:$A$200,0)),INDEX(Method!$A$4:$A$200,MATCH($H43,Method!$A$4:$A$200,0))&lt;&gt;"",INDEX(Method!$B$4:$B$200,MATCH($H43,Method!$A$4:$A$200,0))&lt;&gt;"",INDEX(Method!$C$4:$C$200,MATCH($H43,Method!$A$4:$A$200,0))&lt;&gt;""))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4">
      <formula1>IF($H44="",TRUE,AND(ISNUMBER(MATCH($H44,Method!$A$4:$A$200,0)),INDEX(Method!$A$4:$A$200,MATCH($H44,Method!$A$4:$A$200,0))&lt;&gt;"",INDEX(Method!$B$4:$B$200,MATCH($H44,Method!$A$4:$A$200,0))&lt;&gt;"",INDEX(Method!$C$4:$C$200,MATCH($H44,Method!$A$4:$A$200,0))&lt;&gt;""))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5">
      <formula1>IF($H45="",TRUE,AND(ISNUMBER(MATCH($H45,Method!$A$4:$A$200,0)),INDEX(Method!$A$4:$A$200,MATCH($H45,Method!$A$4:$A$200,0))&lt;&gt;"",INDEX(Method!$B$4:$B$200,MATCH($H45,Method!$A$4:$A$200,0))&lt;&gt;"",INDEX(Method!$C$4:$C$200,MATCH($H45,Method!$A$4:$A$200,0))&lt;&gt;""))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6">
      <formula1>IF($H46="",TRUE,AND(ISNUMBER(MATCH($H46,Method!$A$4:$A$200,0)),INDEX(Method!$A$4:$A$200,MATCH($H46,Method!$A$4:$A$200,0))&lt;&gt;"",INDEX(Method!$B$4:$B$200,MATCH($H46,Method!$A$4:$A$200,0))&lt;&gt;"",INDEX(Method!$C$4:$C$200,MATCH($H46,Method!$A$4:$A$200,0))&lt;&gt;""))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7">
      <formula1>IF($H47="",TRUE,AND(ISNUMBER(MATCH($H47,Method!$A$4:$A$200,0)),INDEX(Method!$A$4:$A$200,MATCH($H47,Method!$A$4:$A$200,0))&lt;&gt;"",INDEX(Method!$B$4:$B$200,MATCH($H47,Method!$A$4:$A$200,0))&lt;&gt;"",INDEX(Method!$C$4:$C$200,MATCH($H47,Method!$A$4:$A$200,0))&lt;&gt;""))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8">
      <formula1>IF($H48="",TRUE,AND(ISNUMBER(MATCH($H48,Method!$A$4:$A$200,0)),INDEX(Method!$A$4:$A$200,MATCH($H48,Method!$A$4:$A$200,0))&lt;&gt;"",INDEX(Method!$B$4:$B$200,MATCH($H48,Method!$A$4:$A$200,0))&lt;&gt;"",INDEX(Method!$C$4:$C$200,MATCH($H48,Method!$A$4:$A$200,0))&lt;&gt;""))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49">
      <formula1>IF($H49="",TRUE,AND(ISNUMBER(MATCH($H49,Method!$A$4:$A$200,0)),INDEX(Method!$A$4:$A$200,MATCH($H49,Method!$A$4:$A$200,0))&lt;&gt;"",INDEX(Method!$B$4:$B$200,MATCH($H49,Method!$A$4:$A$200,0))&lt;&gt;"",INDEX(Method!$C$4:$C$200,MATCH($H49,Method!$A$4:$A$200,0))&lt;&gt;""))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0">
      <formula1>IF($H50="",TRUE,AND(ISNUMBER(MATCH($H50,Method!$A$4:$A$200,0)),INDEX(Method!$A$4:$A$200,MATCH($H50,Method!$A$4:$A$200,0))&lt;&gt;"",INDEX(Method!$B$4:$B$200,MATCH($H50,Method!$A$4:$A$200,0))&lt;&gt;"",INDEX(Method!$C$4:$C$200,MATCH($H50,Method!$A$4:$A$200,0))&lt;&gt;""))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1">
      <formula1>IF($H51="",TRUE,AND(ISNUMBER(MATCH($H51,Method!$A$4:$A$200,0)),INDEX(Method!$A$4:$A$200,MATCH($H51,Method!$A$4:$A$200,0))&lt;&gt;"",INDEX(Method!$B$4:$B$200,MATCH($H51,Method!$A$4:$A$200,0))&lt;&gt;"",INDEX(Method!$C$4:$C$200,MATCH($H51,Method!$A$4:$A$200,0))&lt;&gt;""))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2">
      <formula1>IF($H52="",TRUE,AND(ISNUMBER(MATCH($H52,Method!$A$4:$A$200,0)),INDEX(Method!$A$4:$A$200,MATCH($H52,Method!$A$4:$A$200,0))&lt;&gt;"",INDEX(Method!$B$4:$B$200,MATCH($H52,Method!$A$4:$A$200,0))&lt;&gt;"",INDEX(Method!$C$4:$C$200,MATCH($H52,Method!$A$4:$A$200,0))&lt;&gt;""))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3">
      <formula1>IF($H53="",TRUE,AND(ISNUMBER(MATCH($H53,Method!$A$4:$A$200,0)),INDEX(Method!$A$4:$A$200,MATCH($H53,Method!$A$4:$A$200,0))&lt;&gt;"",INDEX(Method!$B$4:$B$200,MATCH($H53,Method!$A$4:$A$200,0))&lt;&gt;"",INDEX(Method!$C$4:$C$200,MATCH($H53,Method!$A$4:$A$200,0))&lt;&gt;""))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4">
      <formula1>IF($H54="",TRUE,AND(ISNUMBER(MATCH($H54,Method!$A$4:$A$200,0)),INDEX(Method!$A$4:$A$200,MATCH($H54,Method!$A$4:$A$200,0))&lt;&gt;"",INDEX(Method!$B$4:$B$200,MATCH($H54,Method!$A$4:$A$200,0))&lt;&gt;"",INDEX(Method!$C$4:$C$200,MATCH($H54,Method!$A$4:$A$200,0))&lt;&gt;""))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5">
      <formula1>IF($H55="",TRUE,AND(ISNUMBER(MATCH($H55,Method!$A$4:$A$200,0)),INDEX(Method!$A$4:$A$200,MATCH($H55,Method!$A$4:$A$200,0))&lt;&gt;"",INDEX(Method!$B$4:$B$200,MATCH($H55,Method!$A$4:$A$200,0))&lt;&gt;"",INDEX(Method!$C$4:$C$200,MATCH($H55,Method!$A$4:$A$200,0))&lt;&gt;""))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6">
      <formula1>IF($H56="",TRUE,AND(ISNUMBER(MATCH($H56,Method!$A$4:$A$200,0)),INDEX(Method!$A$4:$A$200,MATCH($H56,Method!$A$4:$A$200,0))&lt;&gt;"",INDEX(Method!$B$4:$B$200,MATCH($H56,Method!$A$4:$A$200,0))&lt;&gt;"",INDEX(Method!$C$4:$C$200,MATCH($H56,Method!$A$4:$A$200,0))&lt;&gt;""))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7">
      <formula1>IF($H57="",TRUE,AND(ISNUMBER(MATCH($H57,Method!$A$4:$A$200,0)),INDEX(Method!$A$4:$A$200,MATCH($H57,Method!$A$4:$A$200,0))&lt;&gt;"",INDEX(Method!$B$4:$B$200,MATCH($H57,Method!$A$4:$A$200,0))&lt;&gt;"",INDEX(Method!$C$4:$C$200,MATCH($H57,Method!$A$4:$A$200,0))&lt;&gt;""))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8">
      <formula1>IF($H58="",TRUE,AND(ISNUMBER(MATCH($H58,Method!$A$4:$A$200,0)),INDEX(Method!$A$4:$A$200,MATCH($H58,Method!$A$4:$A$200,0))&lt;&gt;"",INDEX(Method!$B$4:$B$200,MATCH($H58,Method!$A$4:$A$200,0))&lt;&gt;"",INDEX(Method!$C$4:$C$200,MATCH($H58,Method!$A$4:$A$200,0))&lt;&gt;""))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59">
      <formula1>IF($H59="",TRUE,AND(ISNUMBER(MATCH($H59,Method!$A$4:$A$200,0)),INDEX(Method!$A$4:$A$200,MATCH($H59,Method!$A$4:$A$200,0))&lt;&gt;"",INDEX(Method!$B$4:$B$200,MATCH($H59,Method!$A$4:$A$200,0))&lt;&gt;"",INDEX(Method!$C$4:$C$200,MATCH($H59,Method!$A$4:$A$200,0))&lt;&gt;""))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0">
      <formula1>IF($H60="",TRUE,AND(ISNUMBER(MATCH($H60,Method!$A$4:$A$200,0)),INDEX(Method!$A$4:$A$200,MATCH($H60,Method!$A$4:$A$200,0))&lt;&gt;"",INDEX(Method!$B$4:$B$200,MATCH($H60,Method!$A$4:$A$200,0))&lt;&gt;"",INDEX(Method!$C$4:$C$200,MATCH($H60,Method!$A$4:$A$200,0))&lt;&gt;""))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1">
      <formula1>IF($H61="",TRUE,AND(ISNUMBER(MATCH($H61,Method!$A$4:$A$200,0)),INDEX(Method!$A$4:$A$200,MATCH($H61,Method!$A$4:$A$200,0))&lt;&gt;"",INDEX(Method!$B$4:$B$200,MATCH($H61,Method!$A$4:$A$200,0))&lt;&gt;"",INDEX(Method!$C$4:$C$200,MATCH($H61,Method!$A$4:$A$200,0))&lt;&gt;""))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2">
      <formula1>IF($H62="",TRUE,AND(ISNUMBER(MATCH($H62,Method!$A$4:$A$200,0)),INDEX(Method!$A$4:$A$200,MATCH($H62,Method!$A$4:$A$200,0))&lt;&gt;"",INDEX(Method!$B$4:$B$200,MATCH($H62,Method!$A$4:$A$200,0))&lt;&gt;"",INDEX(Method!$C$4:$C$200,MATCH($H62,Method!$A$4:$A$200,0))&lt;&gt;""))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3">
      <formula1>IF($H63="",TRUE,AND(ISNUMBER(MATCH($H63,Method!$A$4:$A$200,0)),INDEX(Method!$A$4:$A$200,MATCH($H63,Method!$A$4:$A$200,0))&lt;&gt;"",INDEX(Method!$B$4:$B$200,MATCH($H63,Method!$A$4:$A$200,0))&lt;&gt;"",INDEX(Method!$C$4:$C$200,MATCH($H63,Method!$A$4:$A$200,0))&lt;&gt;""))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4">
      <formula1>IF($H64="",TRUE,AND(ISNUMBER(MATCH($H64,Method!$A$4:$A$200,0)),INDEX(Method!$A$4:$A$200,MATCH($H64,Method!$A$4:$A$200,0))&lt;&gt;"",INDEX(Method!$B$4:$B$200,MATCH($H64,Method!$A$4:$A$200,0))&lt;&gt;"",INDEX(Method!$C$4:$C$200,MATCH($H64,Method!$A$4:$A$200,0))&lt;&gt;""))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5">
      <formula1>IF($H65="",TRUE,AND(ISNUMBER(MATCH($H65,Method!$A$4:$A$200,0)),INDEX(Method!$A$4:$A$200,MATCH($H65,Method!$A$4:$A$200,0))&lt;&gt;"",INDEX(Method!$B$4:$B$200,MATCH($H65,Method!$A$4:$A$200,0))&lt;&gt;"",INDEX(Method!$C$4:$C$200,MATCH($H65,Method!$A$4:$A$200,0))&lt;&gt;""))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6">
      <formula1>IF($H66="",TRUE,AND(ISNUMBER(MATCH($H66,Method!$A$4:$A$200,0)),INDEX(Method!$A$4:$A$200,MATCH($H66,Method!$A$4:$A$200,0))&lt;&gt;"",INDEX(Method!$B$4:$B$200,MATCH($H66,Method!$A$4:$A$200,0))&lt;&gt;"",INDEX(Method!$C$4:$C$200,MATCH($H66,Method!$A$4:$A$200,0))&lt;&gt;""))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7">
      <formula1>IF($H67="",TRUE,AND(ISNUMBER(MATCH($H67,Method!$A$4:$A$200,0)),INDEX(Method!$A$4:$A$200,MATCH($H67,Method!$A$4:$A$200,0))&lt;&gt;"",INDEX(Method!$B$4:$B$200,MATCH($H67,Method!$A$4:$A$200,0))&lt;&gt;"",INDEX(Method!$C$4:$C$200,MATCH($H67,Method!$A$4:$A$200,0))&lt;&gt;""))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8">
      <formula1>IF($H68="",TRUE,AND(ISNUMBER(MATCH($H68,Method!$A$4:$A$200,0)),INDEX(Method!$A$4:$A$200,MATCH($H68,Method!$A$4:$A$200,0))&lt;&gt;"",INDEX(Method!$B$4:$B$200,MATCH($H68,Method!$A$4:$A$200,0))&lt;&gt;"",INDEX(Method!$C$4:$C$200,MATCH($H68,Method!$A$4:$A$200,0))&lt;&gt;""))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69">
      <formula1>IF($H69="",TRUE,AND(ISNUMBER(MATCH($H69,Method!$A$4:$A$200,0)),INDEX(Method!$A$4:$A$200,MATCH($H69,Method!$A$4:$A$200,0))&lt;&gt;"",INDEX(Method!$B$4:$B$200,MATCH($H69,Method!$A$4:$A$200,0))&lt;&gt;"",INDEX(Method!$C$4:$C$200,MATCH($H69,Method!$A$4:$A$200,0))&lt;&gt;""))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0">
      <formula1>IF($H70="",TRUE,AND(ISNUMBER(MATCH($H70,Method!$A$4:$A$200,0)),INDEX(Method!$A$4:$A$200,MATCH($H70,Method!$A$4:$A$200,0))&lt;&gt;"",INDEX(Method!$B$4:$B$200,MATCH($H70,Method!$A$4:$A$200,0))&lt;&gt;"",INDEX(Method!$C$4:$C$200,MATCH($H70,Method!$A$4:$A$200,0))&lt;&gt;""))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1">
      <formula1>IF($H71="",TRUE,AND(ISNUMBER(MATCH($H71,Method!$A$4:$A$200,0)),INDEX(Method!$A$4:$A$200,MATCH($H71,Method!$A$4:$A$200,0))&lt;&gt;"",INDEX(Method!$B$4:$B$200,MATCH($H71,Method!$A$4:$A$200,0))&lt;&gt;"",INDEX(Method!$C$4:$C$200,MATCH($H71,Method!$A$4:$A$200,0))&lt;&gt;""))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2">
      <formula1>IF($H72="",TRUE,AND(ISNUMBER(MATCH($H72,Method!$A$4:$A$200,0)),INDEX(Method!$A$4:$A$200,MATCH($H72,Method!$A$4:$A$200,0))&lt;&gt;"",INDEX(Method!$B$4:$B$200,MATCH($H72,Method!$A$4:$A$200,0))&lt;&gt;"",INDEX(Method!$C$4:$C$200,MATCH($H72,Method!$A$4:$A$200,0))&lt;&gt;""))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3">
      <formula1>IF($H73="",TRUE,AND(ISNUMBER(MATCH($H73,Method!$A$4:$A$200,0)),INDEX(Method!$A$4:$A$200,MATCH($H73,Method!$A$4:$A$200,0))&lt;&gt;"",INDEX(Method!$B$4:$B$200,MATCH($H73,Method!$A$4:$A$200,0))&lt;&gt;"",INDEX(Method!$C$4:$C$200,MATCH($H73,Method!$A$4:$A$200,0))&lt;&gt;""))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4">
      <formula1>IF($H74="",TRUE,AND(ISNUMBER(MATCH($H74,Method!$A$4:$A$200,0)),INDEX(Method!$A$4:$A$200,MATCH($H74,Method!$A$4:$A$200,0))&lt;&gt;"",INDEX(Method!$B$4:$B$200,MATCH($H74,Method!$A$4:$A$200,0))&lt;&gt;"",INDEX(Method!$C$4:$C$200,MATCH($H74,Method!$A$4:$A$200,0))&lt;&gt;""))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5">
      <formula1>IF($H75="",TRUE,AND(ISNUMBER(MATCH($H75,Method!$A$4:$A$200,0)),INDEX(Method!$A$4:$A$200,MATCH($H75,Method!$A$4:$A$200,0))&lt;&gt;"",INDEX(Method!$B$4:$B$200,MATCH($H75,Method!$A$4:$A$200,0))&lt;&gt;"",INDEX(Method!$C$4:$C$200,MATCH($H75,Method!$A$4:$A$200,0))&lt;&gt;""))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6">
      <formula1>IF($H76="",TRUE,AND(ISNUMBER(MATCH($H76,Method!$A$4:$A$200,0)),INDEX(Method!$A$4:$A$200,MATCH($H76,Method!$A$4:$A$200,0))&lt;&gt;"",INDEX(Method!$B$4:$B$200,MATCH($H76,Method!$A$4:$A$200,0))&lt;&gt;"",INDEX(Method!$C$4:$C$200,MATCH($H76,Method!$A$4:$A$200,0))&lt;&gt;""))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7">
      <formula1>IF($H77="",TRUE,AND(ISNUMBER(MATCH($H77,Method!$A$4:$A$200,0)),INDEX(Method!$A$4:$A$200,MATCH($H77,Method!$A$4:$A$200,0))&lt;&gt;"",INDEX(Method!$B$4:$B$200,MATCH($H77,Method!$A$4:$A$200,0))&lt;&gt;"",INDEX(Method!$C$4:$C$200,MATCH($H77,Method!$A$4:$A$200,0))&lt;&gt;""))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8">
      <formula1>IF($H78="",TRUE,AND(ISNUMBER(MATCH($H78,Method!$A$4:$A$200,0)),INDEX(Method!$A$4:$A$200,MATCH($H78,Method!$A$4:$A$200,0))&lt;&gt;"",INDEX(Method!$B$4:$B$200,MATCH($H78,Method!$A$4:$A$200,0))&lt;&gt;"",INDEX(Method!$C$4:$C$200,MATCH($H78,Method!$A$4:$A$200,0))&lt;&gt;""))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79">
      <formula1>IF($H79="",TRUE,AND(ISNUMBER(MATCH($H79,Method!$A$4:$A$200,0)),INDEX(Method!$A$4:$A$200,MATCH($H79,Method!$A$4:$A$200,0))&lt;&gt;"",INDEX(Method!$B$4:$B$200,MATCH($H79,Method!$A$4:$A$200,0))&lt;&gt;"",INDEX(Method!$C$4:$C$200,MATCH($H79,Method!$A$4:$A$200,0))&lt;&gt;""))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0">
      <formula1>IF($H80="",TRUE,AND(ISNUMBER(MATCH($H80,Method!$A$4:$A$200,0)),INDEX(Method!$A$4:$A$200,MATCH($H80,Method!$A$4:$A$200,0))&lt;&gt;"",INDEX(Method!$B$4:$B$200,MATCH($H80,Method!$A$4:$A$200,0))&lt;&gt;"",INDEX(Method!$C$4:$C$200,MATCH($H80,Method!$A$4:$A$200,0))&lt;&gt;""))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1">
      <formula1>IF($H81="",TRUE,AND(ISNUMBER(MATCH($H81,Method!$A$4:$A$200,0)),INDEX(Method!$A$4:$A$200,MATCH($H81,Method!$A$4:$A$200,0))&lt;&gt;"",INDEX(Method!$B$4:$B$200,MATCH($H81,Method!$A$4:$A$200,0))&lt;&gt;"",INDEX(Method!$C$4:$C$200,MATCH($H81,Method!$A$4:$A$200,0))&lt;&gt;""))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2">
      <formula1>IF($H82="",TRUE,AND(ISNUMBER(MATCH($H82,Method!$A$4:$A$200,0)),INDEX(Method!$A$4:$A$200,MATCH($H82,Method!$A$4:$A$200,0))&lt;&gt;"",INDEX(Method!$B$4:$B$200,MATCH($H82,Method!$A$4:$A$200,0))&lt;&gt;"",INDEX(Method!$C$4:$C$200,MATCH($H82,Method!$A$4:$A$200,0))&lt;&gt;""))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3">
      <formula1>IF($H83="",TRUE,AND(ISNUMBER(MATCH($H83,Method!$A$4:$A$200,0)),INDEX(Method!$A$4:$A$200,MATCH($H83,Method!$A$4:$A$200,0))&lt;&gt;"",INDEX(Method!$B$4:$B$200,MATCH($H83,Method!$A$4:$A$200,0))&lt;&gt;"",INDEX(Method!$C$4:$C$200,MATCH($H83,Method!$A$4:$A$200,0))&lt;&gt;""))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4">
      <formula1>IF($H84="",TRUE,AND(ISNUMBER(MATCH($H84,Method!$A$4:$A$200,0)),INDEX(Method!$A$4:$A$200,MATCH($H84,Method!$A$4:$A$200,0))&lt;&gt;"",INDEX(Method!$B$4:$B$200,MATCH($H84,Method!$A$4:$A$200,0))&lt;&gt;"",INDEX(Method!$C$4:$C$200,MATCH($H84,Method!$A$4:$A$200,0))&lt;&gt;""))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5">
      <formula1>IF($H85="",TRUE,AND(ISNUMBER(MATCH($H85,Method!$A$4:$A$200,0)),INDEX(Method!$A$4:$A$200,MATCH($H85,Method!$A$4:$A$200,0))&lt;&gt;"",INDEX(Method!$B$4:$B$200,MATCH($H85,Method!$A$4:$A$200,0))&lt;&gt;"",INDEX(Method!$C$4:$C$200,MATCH($H85,Method!$A$4:$A$200,0))&lt;&gt;""))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6">
      <formula1>IF($H86="",TRUE,AND(ISNUMBER(MATCH($H86,Method!$A$4:$A$200,0)),INDEX(Method!$A$4:$A$200,MATCH($H86,Method!$A$4:$A$200,0))&lt;&gt;"",INDEX(Method!$B$4:$B$200,MATCH($H86,Method!$A$4:$A$200,0))&lt;&gt;"",INDEX(Method!$C$4:$C$200,MATCH($H86,Method!$A$4:$A$200,0))&lt;&gt;""))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7">
      <formula1>IF($H87="",TRUE,AND(ISNUMBER(MATCH($H87,Method!$A$4:$A$200,0)),INDEX(Method!$A$4:$A$200,MATCH($H87,Method!$A$4:$A$200,0))&lt;&gt;"",INDEX(Method!$B$4:$B$200,MATCH($H87,Method!$A$4:$A$200,0))&lt;&gt;"",INDEX(Method!$C$4:$C$200,MATCH($H87,Method!$A$4:$A$200,0))&lt;&gt;""))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8">
      <formula1>IF($H88="",TRUE,AND(ISNUMBER(MATCH($H88,Method!$A$4:$A$200,0)),INDEX(Method!$A$4:$A$200,MATCH($H88,Method!$A$4:$A$200,0))&lt;&gt;"",INDEX(Method!$B$4:$B$200,MATCH($H88,Method!$A$4:$A$200,0))&lt;&gt;"",INDEX(Method!$C$4:$C$200,MATCH($H88,Method!$A$4:$A$200,0))&lt;&gt;""))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89">
      <formula1>IF($H89="",TRUE,AND(ISNUMBER(MATCH($H89,Method!$A$4:$A$200,0)),INDEX(Method!$A$4:$A$200,MATCH($H89,Method!$A$4:$A$200,0))&lt;&gt;"",INDEX(Method!$B$4:$B$200,MATCH($H89,Method!$A$4:$A$200,0))&lt;&gt;"",INDEX(Method!$C$4:$C$200,MATCH($H89,Method!$A$4:$A$200,0))&lt;&gt;""))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0">
      <formula1>IF($H90="",TRUE,AND(ISNUMBER(MATCH($H90,Method!$A$4:$A$200,0)),INDEX(Method!$A$4:$A$200,MATCH($H90,Method!$A$4:$A$200,0))&lt;&gt;"",INDEX(Method!$B$4:$B$200,MATCH($H90,Method!$A$4:$A$200,0))&lt;&gt;"",INDEX(Method!$C$4:$C$200,MATCH($H90,Method!$A$4:$A$200,0))&lt;&gt;""))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1">
      <formula1>IF($H91="",TRUE,AND(ISNUMBER(MATCH($H91,Method!$A$4:$A$200,0)),INDEX(Method!$A$4:$A$200,MATCH($H91,Method!$A$4:$A$200,0))&lt;&gt;"",INDEX(Method!$B$4:$B$200,MATCH($H91,Method!$A$4:$A$200,0))&lt;&gt;"",INDEX(Method!$C$4:$C$200,MATCH($H91,Method!$A$4:$A$200,0))&lt;&gt;""))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2">
      <formula1>IF($H92="",TRUE,AND(ISNUMBER(MATCH($H92,Method!$A$4:$A$200,0)),INDEX(Method!$A$4:$A$200,MATCH($H92,Method!$A$4:$A$200,0))&lt;&gt;"",INDEX(Method!$B$4:$B$200,MATCH($H92,Method!$A$4:$A$200,0))&lt;&gt;"",INDEX(Method!$C$4:$C$200,MATCH($H92,Method!$A$4:$A$200,0))&lt;&gt;""))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3">
      <formula1>IF($H93="",TRUE,AND(ISNUMBER(MATCH($H93,Method!$A$4:$A$200,0)),INDEX(Method!$A$4:$A$200,MATCH($H93,Method!$A$4:$A$200,0))&lt;&gt;"",INDEX(Method!$B$4:$B$200,MATCH($H93,Method!$A$4:$A$200,0))&lt;&gt;"",INDEX(Method!$C$4:$C$200,MATCH($H93,Method!$A$4:$A$200,0))&lt;&gt;""))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4">
      <formula1>IF($H94="",TRUE,AND(ISNUMBER(MATCH($H94,Method!$A$4:$A$200,0)),INDEX(Method!$A$4:$A$200,MATCH($H94,Method!$A$4:$A$200,0))&lt;&gt;"",INDEX(Method!$B$4:$B$200,MATCH($H94,Method!$A$4:$A$200,0))&lt;&gt;"",INDEX(Method!$C$4:$C$200,MATCH($H94,Method!$A$4:$A$200,0))&lt;&gt;""))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5">
      <formula1>IF($H95="",TRUE,AND(ISNUMBER(MATCH($H95,Method!$A$4:$A$200,0)),INDEX(Method!$A$4:$A$200,MATCH($H95,Method!$A$4:$A$200,0))&lt;&gt;"",INDEX(Method!$B$4:$B$200,MATCH($H95,Method!$A$4:$A$200,0))&lt;&gt;"",INDEX(Method!$C$4:$C$200,MATCH($H95,Method!$A$4:$A$200,0))&lt;&gt;""))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6">
      <formula1>IF($H96="",TRUE,AND(ISNUMBER(MATCH($H96,Method!$A$4:$A$200,0)),INDEX(Method!$A$4:$A$200,MATCH($H96,Method!$A$4:$A$200,0))&lt;&gt;"",INDEX(Method!$B$4:$B$200,MATCH($H96,Method!$A$4:$A$200,0))&lt;&gt;"",INDEX(Method!$C$4:$C$200,MATCH($H96,Method!$A$4:$A$200,0))&lt;&gt;""))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7">
      <formula1>IF($H97="",TRUE,AND(ISNUMBER(MATCH($H97,Method!$A$4:$A$200,0)),INDEX(Method!$A$4:$A$200,MATCH($H97,Method!$A$4:$A$200,0))&lt;&gt;"",INDEX(Method!$B$4:$B$200,MATCH($H97,Method!$A$4:$A$200,0))&lt;&gt;"",INDEX(Method!$C$4:$C$200,MATCH($H97,Method!$A$4:$A$200,0))&lt;&gt;""))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8">
      <formula1>IF($H98="",TRUE,AND(ISNUMBER(MATCH($H98,Method!$A$4:$A$200,0)),INDEX(Method!$A$4:$A$200,MATCH($H98,Method!$A$4:$A$200,0))&lt;&gt;"",INDEX(Method!$B$4:$B$200,MATCH($H98,Method!$A$4:$A$200,0))&lt;&gt;"",INDEX(Method!$C$4:$C$200,MATCH($H98,Method!$A$4:$A$200,0))&lt;&gt;""))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99">
      <formula1>IF($H99="",TRUE,AND(ISNUMBER(MATCH($H99,Method!$A$4:$A$200,0)),INDEX(Method!$A$4:$A$200,MATCH($H99,Method!$A$4:$A$200,0))&lt;&gt;"",INDEX(Method!$B$4:$B$200,MATCH($H99,Method!$A$4:$A$200,0))&lt;&gt;"",INDEX(Method!$C$4:$C$200,MATCH($H99,Method!$A$4:$A$200,0))&lt;&gt;""))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0">
      <formula1>IF($H100="",TRUE,AND(ISNUMBER(MATCH($H100,Method!$A$4:$A$200,0)),INDEX(Method!$A$4:$A$200,MATCH($H100,Method!$A$4:$A$200,0))&lt;&gt;"",INDEX(Method!$B$4:$B$200,MATCH($H100,Method!$A$4:$A$200,0))&lt;&gt;"",INDEX(Method!$C$4:$C$200,MATCH($H100,Method!$A$4:$A$200,0))&lt;&gt;""))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1">
      <formula1>IF($H101="",TRUE,AND(ISNUMBER(MATCH($H101,Method!$A$4:$A$200,0)),INDEX(Method!$A$4:$A$200,MATCH($H101,Method!$A$4:$A$200,0))&lt;&gt;"",INDEX(Method!$B$4:$B$200,MATCH($H101,Method!$A$4:$A$200,0))&lt;&gt;"",INDEX(Method!$C$4:$C$200,MATCH($H101,Method!$A$4:$A$200,0))&lt;&gt;""))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2">
      <formula1>IF($H102="",TRUE,AND(ISNUMBER(MATCH($H102,Method!$A$4:$A$200,0)),INDEX(Method!$A$4:$A$200,MATCH($H102,Method!$A$4:$A$200,0))&lt;&gt;"",INDEX(Method!$B$4:$B$200,MATCH($H102,Method!$A$4:$A$200,0))&lt;&gt;"",INDEX(Method!$C$4:$C$200,MATCH($H102,Method!$A$4:$A$200,0))&lt;&gt;""))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3">
      <formula1>IF($H103="",TRUE,AND(ISNUMBER(MATCH($H103,Method!$A$4:$A$200,0)),INDEX(Method!$A$4:$A$200,MATCH($H103,Method!$A$4:$A$200,0))&lt;&gt;"",INDEX(Method!$B$4:$B$200,MATCH($H103,Method!$A$4:$A$200,0))&lt;&gt;"",INDEX(Method!$C$4:$C$200,MATCH($H103,Method!$A$4:$A$200,0))&lt;&gt;""))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4">
      <formula1>IF($H104="",TRUE,AND(ISNUMBER(MATCH($H104,Method!$A$4:$A$200,0)),INDEX(Method!$A$4:$A$200,MATCH($H104,Method!$A$4:$A$200,0))&lt;&gt;"",INDEX(Method!$B$4:$B$200,MATCH($H104,Method!$A$4:$A$200,0))&lt;&gt;"",INDEX(Method!$C$4:$C$200,MATCH($H104,Method!$A$4:$A$200,0))&lt;&gt;""))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5">
      <formula1>IF($H105="",TRUE,AND(ISNUMBER(MATCH($H105,Method!$A$4:$A$200,0)),INDEX(Method!$A$4:$A$200,MATCH($H105,Method!$A$4:$A$200,0))&lt;&gt;"",INDEX(Method!$B$4:$B$200,MATCH($H105,Method!$A$4:$A$200,0))&lt;&gt;"",INDEX(Method!$C$4:$C$200,MATCH($H105,Method!$A$4:$A$200,0))&lt;&gt;""))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6">
      <formula1>IF($H106="",TRUE,AND(ISNUMBER(MATCH($H106,Method!$A$4:$A$200,0)),INDEX(Method!$A$4:$A$200,MATCH($H106,Method!$A$4:$A$200,0))&lt;&gt;"",INDEX(Method!$B$4:$B$200,MATCH($H106,Method!$A$4:$A$200,0))&lt;&gt;"",INDEX(Method!$C$4:$C$200,MATCH($H106,Method!$A$4:$A$200,0))&lt;&gt;""))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7">
      <formula1>IF($H107="",TRUE,AND(ISNUMBER(MATCH($H107,Method!$A$4:$A$200,0)),INDEX(Method!$A$4:$A$200,MATCH($H107,Method!$A$4:$A$200,0))&lt;&gt;"",INDEX(Method!$B$4:$B$200,MATCH($H107,Method!$A$4:$A$200,0))&lt;&gt;"",INDEX(Method!$C$4:$C$200,MATCH($H107,Method!$A$4:$A$200,0))&lt;&gt;""))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8">
      <formula1>IF($H108="",TRUE,AND(ISNUMBER(MATCH($H108,Method!$A$4:$A$200,0)),INDEX(Method!$A$4:$A$200,MATCH($H108,Method!$A$4:$A$200,0))&lt;&gt;"",INDEX(Method!$B$4:$B$200,MATCH($H108,Method!$A$4:$A$200,0))&lt;&gt;"",INDEX(Method!$C$4:$C$200,MATCH($H108,Method!$A$4:$A$200,0))&lt;&gt;""))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09">
      <formula1>IF($H109="",TRUE,AND(ISNUMBER(MATCH($H109,Method!$A$4:$A$200,0)),INDEX(Method!$A$4:$A$200,MATCH($H109,Method!$A$4:$A$200,0))&lt;&gt;"",INDEX(Method!$B$4:$B$200,MATCH($H109,Method!$A$4:$A$200,0))&lt;&gt;"",INDEX(Method!$C$4:$C$200,MATCH($H109,Method!$A$4:$A$200,0))&lt;&gt;""))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0">
      <formula1>IF($H110="",TRUE,AND(ISNUMBER(MATCH($H110,Method!$A$4:$A$200,0)),INDEX(Method!$A$4:$A$200,MATCH($H110,Method!$A$4:$A$200,0))&lt;&gt;"",INDEX(Method!$B$4:$B$200,MATCH($H110,Method!$A$4:$A$200,0))&lt;&gt;"",INDEX(Method!$C$4:$C$200,MATCH($H110,Method!$A$4:$A$200,0))&lt;&gt;""))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1">
      <formula1>IF($H111="",TRUE,AND(ISNUMBER(MATCH($H111,Method!$A$4:$A$200,0)),INDEX(Method!$A$4:$A$200,MATCH($H111,Method!$A$4:$A$200,0))&lt;&gt;"",INDEX(Method!$B$4:$B$200,MATCH($H111,Method!$A$4:$A$200,0))&lt;&gt;"",INDEX(Method!$C$4:$C$200,MATCH($H111,Method!$A$4:$A$200,0))&lt;&gt;""))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2">
      <formula1>IF($H112="",TRUE,AND(ISNUMBER(MATCH($H112,Method!$A$4:$A$200,0)),INDEX(Method!$A$4:$A$200,MATCH($H112,Method!$A$4:$A$200,0))&lt;&gt;"",INDEX(Method!$B$4:$B$200,MATCH($H112,Method!$A$4:$A$200,0))&lt;&gt;"",INDEX(Method!$C$4:$C$200,MATCH($H112,Method!$A$4:$A$200,0))&lt;&gt;""))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3">
      <formula1>IF($H113="",TRUE,AND(ISNUMBER(MATCH($H113,Method!$A$4:$A$200,0)),INDEX(Method!$A$4:$A$200,MATCH($H113,Method!$A$4:$A$200,0))&lt;&gt;"",INDEX(Method!$B$4:$B$200,MATCH($H113,Method!$A$4:$A$200,0))&lt;&gt;"",INDEX(Method!$C$4:$C$200,MATCH($H113,Method!$A$4:$A$200,0))&lt;&gt;""))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4">
      <formula1>IF($H114="",TRUE,AND(ISNUMBER(MATCH($H114,Method!$A$4:$A$200,0)),INDEX(Method!$A$4:$A$200,MATCH($H114,Method!$A$4:$A$200,0))&lt;&gt;"",INDEX(Method!$B$4:$B$200,MATCH($H114,Method!$A$4:$A$200,0))&lt;&gt;"",INDEX(Method!$C$4:$C$200,MATCH($H114,Method!$A$4:$A$200,0))&lt;&gt;""))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5">
      <formula1>IF($H115="",TRUE,AND(ISNUMBER(MATCH($H115,Method!$A$4:$A$200,0)),INDEX(Method!$A$4:$A$200,MATCH($H115,Method!$A$4:$A$200,0))&lt;&gt;"",INDEX(Method!$B$4:$B$200,MATCH($H115,Method!$A$4:$A$200,0))&lt;&gt;"",INDEX(Method!$C$4:$C$200,MATCH($H115,Method!$A$4:$A$200,0))&lt;&gt;""))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6">
      <formula1>IF($H116="",TRUE,AND(ISNUMBER(MATCH($H116,Method!$A$4:$A$200,0)),INDEX(Method!$A$4:$A$200,MATCH($H116,Method!$A$4:$A$200,0))&lt;&gt;"",INDEX(Method!$B$4:$B$200,MATCH($H116,Method!$A$4:$A$200,0))&lt;&gt;"",INDEX(Method!$C$4:$C$200,MATCH($H116,Method!$A$4:$A$200,0))&lt;&gt;""))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7">
      <formula1>IF($H117="",TRUE,AND(ISNUMBER(MATCH($H117,Method!$A$4:$A$200,0)),INDEX(Method!$A$4:$A$200,MATCH($H117,Method!$A$4:$A$200,0))&lt;&gt;"",INDEX(Method!$B$4:$B$200,MATCH($H117,Method!$A$4:$A$200,0))&lt;&gt;"",INDEX(Method!$C$4:$C$200,MATCH($H117,Method!$A$4:$A$200,0))&lt;&gt;""))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8">
      <formula1>IF($H118="",TRUE,AND(ISNUMBER(MATCH($H118,Method!$A$4:$A$200,0)),INDEX(Method!$A$4:$A$200,MATCH($H118,Method!$A$4:$A$200,0))&lt;&gt;"",INDEX(Method!$B$4:$B$200,MATCH($H118,Method!$A$4:$A$200,0))&lt;&gt;"",INDEX(Method!$C$4:$C$200,MATCH($H118,Method!$A$4:$A$200,0))&lt;&gt;""))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19">
      <formula1>IF($H119="",TRUE,AND(ISNUMBER(MATCH($H119,Method!$A$4:$A$200,0)),INDEX(Method!$A$4:$A$200,MATCH($H119,Method!$A$4:$A$200,0))&lt;&gt;"",INDEX(Method!$B$4:$B$200,MATCH($H119,Method!$A$4:$A$200,0))&lt;&gt;"",INDEX(Method!$C$4:$C$200,MATCH($H119,Method!$A$4:$A$200,0))&lt;&gt;""))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0">
      <formula1>IF($H120="",TRUE,AND(ISNUMBER(MATCH($H120,Method!$A$4:$A$200,0)),INDEX(Method!$A$4:$A$200,MATCH($H120,Method!$A$4:$A$200,0))&lt;&gt;"",INDEX(Method!$B$4:$B$200,MATCH($H120,Method!$A$4:$A$200,0))&lt;&gt;"",INDEX(Method!$C$4:$C$200,MATCH($H120,Method!$A$4:$A$200,0))&lt;&gt;""))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1">
      <formula1>IF($H121="",TRUE,AND(ISNUMBER(MATCH($H121,Method!$A$4:$A$200,0)),INDEX(Method!$A$4:$A$200,MATCH($H121,Method!$A$4:$A$200,0))&lt;&gt;"",INDEX(Method!$B$4:$B$200,MATCH($H121,Method!$A$4:$A$200,0))&lt;&gt;"",INDEX(Method!$C$4:$C$200,MATCH($H121,Method!$A$4:$A$200,0))&lt;&gt;""))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2">
      <formula1>IF($H122="",TRUE,AND(ISNUMBER(MATCH($H122,Method!$A$4:$A$200,0)),INDEX(Method!$A$4:$A$200,MATCH($H122,Method!$A$4:$A$200,0))&lt;&gt;"",INDEX(Method!$B$4:$B$200,MATCH($H122,Method!$A$4:$A$200,0))&lt;&gt;"",INDEX(Method!$C$4:$C$200,MATCH($H122,Method!$A$4:$A$200,0))&lt;&gt;""))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3">
      <formula1>IF($H123="",TRUE,AND(ISNUMBER(MATCH($H123,Method!$A$4:$A$200,0)),INDEX(Method!$A$4:$A$200,MATCH($H123,Method!$A$4:$A$200,0))&lt;&gt;"",INDEX(Method!$B$4:$B$200,MATCH($H123,Method!$A$4:$A$200,0))&lt;&gt;"",INDEX(Method!$C$4:$C$200,MATCH($H123,Method!$A$4:$A$200,0))&lt;&gt;""))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4">
      <formula1>IF($H124="",TRUE,AND(ISNUMBER(MATCH($H124,Method!$A$4:$A$200,0)),INDEX(Method!$A$4:$A$200,MATCH($H124,Method!$A$4:$A$200,0))&lt;&gt;"",INDEX(Method!$B$4:$B$200,MATCH($H124,Method!$A$4:$A$200,0))&lt;&gt;"",INDEX(Method!$C$4:$C$200,MATCH($H124,Method!$A$4:$A$200,0))&lt;&gt;""))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5">
      <formula1>IF($H125="",TRUE,AND(ISNUMBER(MATCH($H125,Method!$A$4:$A$200,0)),INDEX(Method!$A$4:$A$200,MATCH($H125,Method!$A$4:$A$200,0))&lt;&gt;"",INDEX(Method!$B$4:$B$200,MATCH($H125,Method!$A$4:$A$200,0))&lt;&gt;"",INDEX(Method!$C$4:$C$200,MATCH($H125,Method!$A$4:$A$200,0))&lt;&gt;""))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6">
      <formula1>IF($H126="",TRUE,AND(ISNUMBER(MATCH($H126,Method!$A$4:$A$200,0)),INDEX(Method!$A$4:$A$200,MATCH($H126,Method!$A$4:$A$200,0))&lt;&gt;"",INDEX(Method!$B$4:$B$200,MATCH($H126,Method!$A$4:$A$200,0))&lt;&gt;"",INDEX(Method!$C$4:$C$200,MATCH($H126,Method!$A$4:$A$200,0))&lt;&gt;""))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7">
      <formula1>IF($H127="",TRUE,AND(ISNUMBER(MATCH($H127,Method!$A$4:$A$200,0)),INDEX(Method!$A$4:$A$200,MATCH($H127,Method!$A$4:$A$200,0))&lt;&gt;"",INDEX(Method!$B$4:$B$200,MATCH($H127,Method!$A$4:$A$200,0))&lt;&gt;"",INDEX(Method!$C$4:$C$200,MATCH($H127,Method!$A$4:$A$200,0))&lt;&gt;""))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8">
      <formula1>IF($H128="",TRUE,AND(ISNUMBER(MATCH($H128,Method!$A$4:$A$200,0)),INDEX(Method!$A$4:$A$200,MATCH($H128,Method!$A$4:$A$200,0))&lt;&gt;"",INDEX(Method!$B$4:$B$200,MATCH($H128,Method!$A$4:$A$200,0))&lt;&gt;"",INDEX(Method!$C$4:$C$200,MATCH($H128,Method!$A$4:$A$200,0))&lt;&gt;""))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29">
      <formula1>IF($H129="",TRUE,AND(ISNUMBER(MATCH($H129,Method!$A$4:$A$200,0)),INDEX(Method!$A$4:$A$200,MATCH($H129,Method!$A$4:$A$200,0))&lt;&gt;"",INDEX(Method!$B$4:$B$200,MATCH($H129,Method!$A$4:$A$200,0))&lt;&gt;"",INDEX(Method!$C$4:$C$200,MATCH($H129,Method!$A$4:$A$200,0))&lt;&gt;""))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0">
      <formula1>IF($H130="",TRUE,AND(ISNUMBER(MATCH($H130,Method!$A$4:$A$200,0)),INDEX(Method!$A$4:$A$200,MATCH($H130,Method!$A$4:$A$200,0))&lt;&gt;"",INDEX(Method!$B$4:$B$200,MATCH($H130,Method!$A$4:$A$200,0))&lt;&gt;"",INDEX(Method!$C$4:$C$200,MATCH($H130,Method!$A$4:$A$200,0))&lt;&gt;""))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1">
      <formula1>IF($H131="",TRUE,AND(ISNUMBER(MATCH($H131,Method!$A$4:$A$200,0)),INDEX(Method!$A$4:$A$200,MATCH($H131,Method!$A$4:$A$200,0))&lt;&gt;"",INDEX(Method!$B$4:$B$200,MATCH($H131,Method!$A$4:$A$200,0))&lt;&gt;"",INDEX(Method!$C$4:$C$200,MATCH($H131,Method!$A$4:$A$200,0))&lt;&gt;""))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2">
      <formula1>IF($H132="",TRUE,AND(ISNUMBER(MATCH($H132,Method!$A$4:$A$200,0)),INDEX(Method!$A$4:$A$200,MATCH($H132,Method!$A$4:$A$200,0))&lt;&gt;"",INDEX(Method!$B$4:$B$200,MATCH($H132,Method!$A$4:$A$200,0))&lt;&gt;"",INDEX(Method!$C$4:$C$200,MATCH($H132,Method!$A$4:$A$200,0))&lt;&gt;""))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3">
      <formula1>IF($H133="",TRUE,AND(ISNUMBER(MATCH($H133,Method!$A$4:$A$200,0)),INDEX(Method!$A$4:$A$200,MATCH($H133,Method!$A$4:$A$200,0))&lt;&gt;"",INDEX(Method!$B$4:$B$200,MATCH($H133,Method!$A$4:$A$200,0))&lt;&gt;"",INDEX(Method!$C$4:$C$200,MATCH($H133,Method!$A$4:$A$200,0))&lt;&gt;""))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4">
      <formula1>IF($H134="",TRUE,AND(ISNUMBER(MATCH($H134,Method!$A$4:$A$200,0)),INDEX(Method!$A$4:$A$200,MATCH($H134,Method!$A$4:$A$200,0))&lt;&gt;"",INDEX(Method!$B$4:$B$200,MATCH($H134,Method!$A$4:$A$200,0))&lt;&gt;"",INDEX(Method!$C$4:$C$200,MATCH($H134,Method!$A$4:$A$200,0))&lt;&gt;""))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5">
      <formula1>IF($H135="",TRUE,AND(ISNUMBER(MATCH($H135,Method!$A$4:$A$200,0)),INDEX(Method!$A$4:$A$200,MATCH($H135,Method!$A$4:$A$200,0))&lt;&gt;"",INDEX(Method!$B$4:$B$200,MATCH($H135,Method!$A$4:$A$200,0))&lt;&gt;"",INDEX(Method!$C$4:$C$200,MATCH($H135,Method!$A$4:$A$200,0))&lt;&gt;""))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6">
      <formula1>IF($H136="",TRUE,AND(ISNUMBER(MATCH($H136,Method!$A$4:$A$200,0)),INDEX(Method!$A$4:$A$200,MATCH($H136,Method!$A$4:$A$200,0))&lt;&gt;"",INDEX(Method!$B$4:$B$200,MATCH($H136,Method!$A$4:$A$200,0))&lt;&gt;"",INDEX(Method!$C$4:$C$200,MATCH($H136,Method!$A$4:$A$200,0))&lt;&gt;""))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7">
      <formula1>IF($H137="",TRUE,AND(ISNUMBER(MATCH($H137,Method!$A$4:$A$200,0)),INDEX(Method!$A$4:$A$200,MATCH($H137,Method!$A$4:$A$200,0))&lt;&gt;"",INDEX(Method!$B$4:$B$200,MATCH($H137,Method!$A$4:$A$200,0))&lt;&gt;"",INDEX(Method!$C$4:$C$200,MATCH($H137,Method!$A$4:$A$200,0))&lt;&gt;""))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8">
      <formula1>IF($H138="",TRUE,AND(ISNUMBER(MATCH($H138,Method!$A$4:$A$200,0)),INDEX(Method!$A$4:$A$200,MATCH($H138,Method!$A$4:$A$200,0))&lt;&gt;"",INDEX(Method!$B$4:$B$200,MATCH($H138,Method!$A$4:$A$200,0))&lt;&gt;"",INDEX(Method!$C$4:$C$200,MATCH($H138,Method!$A$4:$A$200,0))&lt;&gt;""))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39">
      <formula1>IF($H139="",TRUE,AND(ISNUMBER(MATCH($H139,Method!$A$4:$A$200,0)),INDEX(Method!$A$4:$A$200,MATCH($H139,Method!$A$4:$A$200,0))&lt;&gt;"",INDEX(Method!$B$4:$B$200,MATCH($H139,Method!$A$4:$A$200,0))&lt;&gt;"",INDEX(Method!$C$4:$C$200,MATCH($H139,Method!$A$4:$A$200,0))&lt;&gt;""))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0">
      <formula1>IF($H140="",TRUE,AND(ISNUMBER(MATCH($H140,Method!$A$4:$A$200,0)),INDEX(Method!$A$4:$A$200,MATCH($H140,Method!$A$4:$A$200,0))&lt;&gt;"",INDEX(Method!$B$4:$B$200,MATCH($H140,Method!$A$4:$A$200,0))&lt;&gt;"",INDEX(Method!$C$4:$C$200,MATCH($H140,Method!$A$4:$A$200,0))&lt;&gt;""))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1">
      <formula1>IF($H141="",TRUE,AND(ISNUMBER(MATCH($H141,Method!$A$4:$A$200,0)),INDEX(Method!$A$4:$A$200,MATCH($H141,Method!$A$4:$A$200,0))&lt;&gt;"",INDEX(Method!$B$4:$B$200,MATCH($H141,Method!$A$4:$A$200,0))&lt;&gt;"",INDEX(Method!$C$4:$C$200,MATCH($H141,Method!$A$4:$A$200,0))&lt;&gt;""))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2">
      <formula1>IF($H142="",TRUE,AND(ISNUMBER(MATCH($H142,Method!$A$4:$A$200,0)),INDEX(Method!$A$4:$A$200,MATCH($H142,Method!$A$4:$A$200,0))&lt;&gt;"",INDEX(Method!$B$4:$B$200,MATCH($H142,Method!$A$4:$A$200,0))&lt;&gt;"",INDEX(Method!$C$4:$C$200,MATCH($H142,Method!$A$4:$A$200,0))&lt;&gt;""))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3">
      <formula1>IF($H143="",TRUE,AND(ISNUMBER(MATCH($H143,Method!$A$4:$A$200,0)),INDEX(Method!$A$4:$A$200,MATCH($H143,Method!$A$4:$A$200,0))&lt;&gt;"",INDEX(Method!$B$4:$B$200,MATCH($H143,Method!$A$4:$A$200,0))&lt;&gt;"",INDEX(Method!$C$4:$C$200,MATCH($H143,Method!$A$4:$A$200,0))&lt;&gt;""))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4">
      <formula1>IF($H144="",TRUE,AND(ISNUMBER(MATCH($H144,Method!$A$4:$A$200,0)),INDEX(Method!$A$4:$A$200,MATCH($H144,Method!$A$4:$A$200,0))&lt;&gt;"",INDEX(Method!$B$4:$B$200,MATCH($H144,Method!$A$4:$A$200,0))&lt;&gt;"",INDEX(Method!$C$4:$C$200,MATCH($H144,Method!$A$4:$A$200,0))&lt;&gt;""))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5">
      <formula1>IF($H145="",TRUE,AND(ISNUMBER(MATCH($H145,Method!$A$4:$A$200,0)),INDEX(Method!$A$4:$A$200,MATCH($H145,Method!$A$4:$A$200,0))&lt;&gt;"",INDEX(Method!$B$4:$B$200,MATCH($H145,Method!$A$4:$A$200,0))&lt;&gt;"",INDEX(Method!$C$4:$C$200,MATCH($H145,Method!$A$4:$A$200,0))&lt;&gt;""))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6">
      <formula1>IF($H146="",TRUE,AND(ISNUMBER(MATCH($H146,Method!$A$4:$A$200,0)),INDEX(Method!$A$4:$A$200,MATCH($H146,Method!$A$4:$A$200,0))&lt;&gt;"",INDEX(Method!$B$4:$B$200,MATCH($H146,Method!$A$4:$A$200,0))&lt;&gt;"",INDEX(Method!$C$4:$C$200,MATCH($H146,Method!$A$4:$A$200,0))&lt;&gt;""))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7">
      <formula1>IF($H147="",TRUE,AND(ISNUMBER(MATCH($H147,Method!$A$4:$A$200,0)),INDEX(Method!$A$4:$A$200,MATCH($H147,Method!$A$4:$A$200,0))&lt;&gt;"",INDEX(Method!$B$4:$B$200,MATCH($H147,Method!$A$4:$A$200,0))&lt;&gt;"",INDEX(Method!$C$4:$C$200,MATCH($H147,Method!$A$4:$A$200,0))&lt;&gt;""))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8">
      <formula1>IF($H148="",TRUE,AND(ISNUMBER(MATCH($H148,Method!$A$4:$A$200,0)),INDEX(Method!$A$4:$A$200,MATCH($H148,Method!$A$4:$A$200,0))&lt;&gt;"",INDEX(Method!$B$4:$B$200,MATCH($H148,Method!$A$4:$A$200,0))&lt;&gt;"",INDEX(Method!$C$4:$C$200,MATCH($H148,Method!$A$4:$A$200,0))&lt;&gt;""))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49">
      <formula1>IF($H149="",TRUE,AND(ISNUMBER(MATCH($H149,Method!$A$4:$A$200,0)),INDEX(Method!$A$4:$A$200,MATCH($H149,Method!$A$4:$A$200,0))&lt;&gt;"",INDEX(Method!$B$4:$B$200,MATCH($H149,Method!$A$4:$A$200,0))&lt;&gt;"",INDEX(Method!$C$4:$C$200,MATCH($H149,Method!$A$4:$A$200,0))&lt;&gt;""))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0">
      <formula1>IF($H150="",TRUE,AND(ISNUMBER(MATCH($H150,Method!$A$4:$A$200,0)),INDEX(Method!$A$4:$A$200,MATCH($H150,Method!$A$4:$A$200,0))&lt;&gt;"",INDEX(Method!$B$4:$B$200,MATCH($H150,Method!$A$4:$A$200,0))&lt;&gt;"",INDEX(Method!$C$4:$C$200,MATCH($H150,Method!$A$4:$A$200,0))&lt;&gt;""))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1">
      <formula1>IF($H151="",TRUE,AND(ISNUMBER(MATCH($H151,Method!$A$4:$A$200,0)),INDEX(Method!$A$4:$A$200,MATCH($H151,Method!$A$4:$A$200,0))&lt;&gt;"",INDEX(Method!$B$4:$B$200,MATCH($H151,Method!$A$4:$A$200,0))&lt;&gt;"",INDEX(Method!$C$4:$C$200,MATCH($H151,Method!$A$4:$A$200,0))&lt;&gt;""))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2">
      <formula1>IF($H152="",TRUE,AND(ISNUMBER(MATCH($H152,Method!$A$4:$A$200,0)),INDEX(Method!$A$4:$A$200,MATCH($H152,Method!$A$4:$A$200,0))&lt;&gt;"",INDEX(Method!$B$4:$B$200,MATCH($H152,Method!$A$4:$A$200,0))&lt;&gt;"",INDEX(Method!$C$4:$C$200,MATCH($H152,Method!$A$4:$A$200,0))&lt;&gt;""))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3">
      <formula1>IF($H153="",TRUE,AND(ISNUMBER(MATCH($H153,Method!$A$4:$A$200,0)),INDEX(Method!$A$4:$A$200,MATCH($H153,Method!$A$4:$A$200,0))&lt;&gt;"",INDEX(Method!$B$4:$B$200,MATCH($H153,Method!$A$4:$A$200,0))&lt;&gt;"",INDEX(Method!$C$4:$C$200,MATCH($H153,Method!$A$4:$A$200,0))&lt;&gt;""))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4">
      <formula1>IF($H154="",TRUE,AND(ISNUMBER(MATCH($H154,Method!$A$4:$A$200,0)),INDEX(Method!$A$4:$A$200,MATCH($H154,Method!$A$4:$A$200,0))&lt;&gt;"",INDEX(Method!$B$4:$B$200,MATCH($H154,Method!$A$4:$A$200,0))&lt;&gt;"",INDEX(Method!$C$4:$C$200,MATCH($H154,Method!$A$4:$A$200,0))&lt;&gt;""))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5">
      <formula1>IF($H155="",TRUE,AND(ISNUMBER(MATCH($H155,Method!$A$4:$A$200,0)),INDEX(Method!$A$4:$A$200,MATCH($H155,Method!$A$4:$A$200,0))&lt;&gt;"",INDEX(Method!$B$4:$B$200,MATCH($H155,Method!$A$4:$A$200,0))&lt;&gt;"",INDEX(Method!$C$4:$C$200,MATCH($H155,Method!$A$4:$A$200,0))&lt;&gt;""))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6">
      <formula1>IF($H156="",TRUE,AND(ISNUMBER(MATCH($H156,Method!$A$4:$A$200,0)),INDEX(Method!$A$4:$A$200,MATCH($H156,Method!$A$4:$A$200,0))&lt;&gt;"",INDEX(Method!$B$4:$B$200,MATCH($H156,Method!$A$4:$A$200,0))&lt;&gt;"",INDEX(Method!$C$4:$C$200,MATCH($H156,Method!$A$4:$A$200,0))&lt;&gt;""))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7">
      <formula1>IF($H157="",TRUE,AND(ISNUMBER(MATCH($H157,Method!$A$4:$A$200,0)),INDEX(Method!$A$4:$A$200,MATCH($H157,Method!$A$4:$A$200,0))&lt;&gt;"",INDEX(Method!$B$4:$B$200,MATCH($H157,Method!$A$4:$A$200,0))&lt;&gt;"",INDEX(Method!$C$4:$C$200,MATCH($H157,Method!$A$4:$A$200,0))&lt;&gt;""))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8">
      <formula1>IF($H158="",TRUE,AND(ISNUMBER(MATCH($H158,Method!$A$4:$A$200,0)),INDEX(Method!$A$4:$A$200,MATCH($H158,Method!$A$4:$A$200,0))&lt;&gt;"",INDEX(Method!$B$4:$B$200,MATCH($H158,Method!$A$4:$A$200,0))&lt;&gt;"",INDEX(Method!$C$4:$C$200,MATCH($H158,Method!$A$4:$A$200,0))&lt;&gt;""))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59">
      <formula1>IF($H159="",TRUE,AND(ISNUMBER(MATCH($H159,Method!$A$4:$A$200,0)),INDEX(Method!$A$4:$A$200,MATCH($H159,Method!$A$4:$A$200,0))&lt;&gt;"",INDEX(Method!$B$4:$B$200,MATCH($H159,Method!$A$4:$A$200,0))&lt;&gt;"",INDEX(Method!$C$4:$C$200,MATCH($H159,Method!$A$4:$A$200,0))&lt;&gt;""))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0">
      <formula1>IF($H160="",TRUE,AND(ISNUMBER(MATCH($H160,Method!$A$4:$A$200,0)),INDEX(Method!$A$4:$A$200,MATCH($H160,Method!$A$4:$A$200,0))&lt;&gt;"",INDEX(Method!$B$4:$B$200,MATCH($H160,Method!$A$4:$A$200,0))&lt;&gt;"",INDEX(Method!$C$4:$C$200,MATCH($H160,Method!$A$4:$A$200,0))&lt;&gt;""))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1">
      <formula1>IF($H161="",TRUE,AND(ISNUMBER(MATCH($H161,Method!$A$4:$A$200,0)),INDEX(Method!$A$4:$A$200,MATCH($H161,Method!$A$4:$A$200,0))&lt;&gt;"",INDEX(Method!$B$4:$B$200,MATCH($H161,Method!$A$4:$A$200,0))&lt;&gt;"",INDEX(Method!$C$4:$C$200,MATCH($H161,Method!$A$4:$A$200,0))&lt;&gt;""))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2">
      <formula1>IF($H162="",TRUE,AND(ISNUMBER(MATCH($H162,Method!$A$4:$A$200,0)),INDEX(Method!$A$4:$A$200,MATCH($H162,Method!$A$4:$A$200,0))&lt;&gt;"",INDEX(Method!$B$4:$B$200,MATCH($H162,Method!$A$4:$A$200,0))&lt;&gt;"",INDEX(Method!$C$4:$C$200,MATCH($H162,Method!$A$4:$A$200,0))&lt;&gt;""))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3">
      <formula1>IF($H163="",TRUE,AND(ISNUMBER(MATCH($H163,Method!$A$4:$A$200,0)),INDEX(Method!$A$4:$A$200,MATCH($H163,Method!$A$4:$A$200,0))&lt;&gt;"",INDEX(Method!$B$4:$B$200,MATCH($H163,Method!$A$4:$A$200,0))&lt;&gt;"",INDEX(Method!$C$4:$C$200,MATCH($H163,Method!$A$4:$A$200,0))&lt;&gt;""))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4">
      <formula1>IF($H164="",TRUE,AND(ISNUMBER(MATCH($H164,Method!$A$4:$A$200,0)),INDEX(Method!$A$4:$A$200,MATCH($H164,Method!$A$4:$A$200,0))&lt;&gt;"",INDEX(Method!$B$4:$B$200,MATCH($H164,Method!$A$4:$A$200,0))&lt;&gt;"",INDEX(Method!$C$4:$C$200,MATCH($H164,Method!$A$4:$A$200,0))&lt;&gt;""))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5">
      <formula1>IF($H165="",TRUE,AND(ISNUMBER(MATCH($H165,Method!$A$4:$A$200,0)),INDEX(Method!$A$4:$A$200,MATCH($H165,Method!$A$4:$A$200,0))&lt;&gt;"",INDEX(Method!$B$4:$B$200,MATCH($H165,Method!$A$4:$A$200,0))&lt;&gt;"",INDEX(Method!$C$4:$C$200,MATCH($H165,Method!$A$4:$A$200,0))&lt;&gt;""))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6">
      <formula1>IF($H166="",TRUE,AND(ISNUMBER(MATCH($H166,Method!$A$4:$A$200,0)),INDEX(Method!$A$4:$A$200,MATCH($H166,Method!$A$4:$A$200,0))&lt;&gt;"",INDEX(Method!$B$4:$B$200,MATCH($H166,Method!$A$4:$A$200,0))&lt;&gt;"",INDEX(Method!$C$4:$C$200,MATCH($H166,Method!$A$4:$A$200,0))&lt;&gt;""))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7">
      <formula1>IF($H167="",TRUE,AND(ISNUMBER(MATCH($H167,Method!$A$4:$A$200,0)),INDEX(Method!$A$4:$A$200,MATCH($H167,Method!$A$4:$A$200,0))&lt;&gt;"",INDEX(Method!$B$4:$B$200,MATCH($H167,Method!$A$4:$A$200,0))&lt;&gt;"",INDEX(Method!$C$4:$C$200,MATCH($H167,Method!$A$4:$A$200,0))&lt;&gt;""))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8">
      <formula1>IF($H168="",TRUE,AND(ISNUMBER(MATCH($H168,Method!$A$4:$A$200,0)),INDEX(Method!$A$4:$A$200,MATCH($H168,Method!$A$4:$A$200,0))&lt;&gt;"",INDEX(Method!$B$4:$B$200,MATCH($H168,Method!$A$4:$A$200,0))&lt;&gt;"",INDEX(Method!$C$4:$C$200,MATCH($H168,Method!$A$4:$A$200,0))&lt;&gt;""))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69">
      <formula1>IF($H169="",TRUE,AND(ISNUMBER(MATCH($H169,Method!$A$4:$A$200,0)),INDEX(Method!$A$4:$A$200,MATCH($H169,Method!$A$4:$A$200,0))&lt;&gt;"",INDEX(Method!$B$4:$B$200,MATCH($H169,Method!$A$4:$A$200,0))&lt;&gt;"",INDEX(Method!$C$4:$C$200,MATCH($H169,Method!$A$4:$A$200,0))&lt;&gt;""))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0">
      <formula1>IF($H170="",TRUE,AND(ISNUMBER(MATCH($H170,Method!$A$4:$A$200,0)),INDEX(Method!$A$4:$A$200,MATCH($H170,Method!$A$4:$A$200,0))&lt;&gt;"",INDEX(Method!$B$4:$B$200,MATCH($H170,Method!$A$4:$A$200,0))&lt;&gt;"",INDEX(Method!$C$4:$C$200,MATCH($H170,Method!$A$4:$A$200,0))&lt;&gt;""))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1">
      <formula1>IF($H171="",TRUE,AND(ISNUMBER(MATCH($H171,Method!$A$4:$A$200,0)),INDEX(Method!$A$4:$A$200,MATCH($H171,Method!$A$4:$A$200,0))&lt;&gt;"",INDEX(Method!$B$4:$B$200,MATCH($H171,Method!$A$4:$A$200,0))&lt;&gt;"",INDEX(Method!$C$4:$C$200,MATCH($H171,Method!$A$4:$A$200,0))&lt;&gt;""))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2">
      <formula1>IF($H172="",TRUE,AND(ISNUMBER(MATCH($H172,Method!$A$4:$A$200,0)),INDEX(Method!$A$4:$A$200,MATCH($H172,Method!$A$4:$A$200,0))&lt;&gt;"",INDEX(Method!$B$4:$B$200,MATCH($H172,Method!$A$4:$A$200,0))&lt;&gt;"",INDEX(Method!$C$4:$C$200,MATCH($H172,Method!$A$4:$A$200,0))&lt;&gt;""))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3">
      <formula1>IF($H173="",TRUE,AND(ISNUMBER(MATCH($H173,Method!$A$4:$A$200,0)),INDEX(Method!$A$4:$A$200,MATCH($H173,Method!$A$4:$A$200,0))&lt;&gt;"",INDEX(Method!$B$4:$B$200,MATCH($H173,Method!$A$4:$A$200,0))&lt;&gt;"",INDEX(Method!$C$4:$C$200,MATCH($H173,Method!$A$4:$A$200,0))&lt;&gt;""))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4">
      <formula1>IF($H174="",TRUE,AND(ISNUMBER(MATCH($H174,Method!$A$4:$A$200,0)),INDEX(Method!$A$4:$A$200,MATCH($H174,Method!$A$4:$A$200,0))&lt;&gt;"",INDEX(Method!$B$4:$B$200,MATCH($H174,Method!$A$4:$A$200,0))&lt;&gt;"",INDEX(Method!$C$4:$C$200,MATCH($H174,Method!$A$4:$A$200,0))&lt;&gt;""))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5">
      <formula1>IF($H175="",TRUE,AND(ISNUMBER(MATCH($H175,Method!$A$4:$A$200,0)),INDEX(Method!$A$4:$A$200,MATCH($H175,Method!$A$4:$A$200,0))&lt;&gt;"",INDEX(Method!$B$4:$B$200,MATCH($H175,Method!$A$4:$A$200,0))&lt;&gt;"",INDEX(Method!$C$4:$C$200,MATCH($H175,Method!$A$4:$A$200,0))&lt;&gt;""))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6">
      <formula1>IF($H176="",TRUE,AND(ISNUMBER(MATCH($H176,Method!$A$4:$A$200,0)),INDEX(Method!$A$4:$A$200,MATCH($H176,Method!$A$4:$A$200,0))&lt;&gt;"",INDEX(Method!$B$4:$B$200,MATCH($H176,Method!$A$4:$A$200,0))&lt;&gt;"",INDEX(Method!$C$4:$C$200,MATCH($H176,Method!$A$4:$A$200,0))&lt;&gt;""))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7">
      <formula1>IF($H177="",TRUE,AND(ISNUMBER(MATCH($H177,Method!$A$4:$A$200,0)),INDEX(Method!$A$4:$A$200,MATCH($H177,Method!$A$4:$A$200,0))&lt;&gt;"",INDEX(Method!$B$4:$B$200,MATCH($H177,Method!$A$4:$A$200,0))&lt;&gt;"",INDEX(Method!$C$4:$C$200,MATCH($H177,Method!$A$4:$A$200,0))&lt;&gt;""))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8">
      <formula1>IF($H178="",TRUE,AND(ISNUMBER(MATCH($H178,Method!$A$4:$A$200,0)),INDEX(Method!$A$4:$A$200,MATCH($H178,Method!$A$4:$A$200,0))&lt;&gt;"",INDEX(Method!$B$4:$B$200,MATCH($H178,Method!$A$4:$A$200,0))&lt;&gt;"",INDEX(Method!$C$4:$C$200,MATCH($H178,Method!$A$4:$A$200,0))&lt;&gt;""))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79">
      <formula1>IF($H179="",TRUE,AND(ISNUMBER(MATCH($H179,Method!$A$4:$A$200,0)),INDEX(Method!$A$4:$A$200,MATCH($H179,Method!$A$4:$A$200,0))&lt;&gt;"",INDEX(Method!$B$4:$B$200,MATCH($H179,Method!$A$4:$A$200,0))&lt;&gt;"",INDEX(Method!$C$4:$C$200,MATCH($H179,Method!$A$4:$A$200,0))&lt;&gt;""))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0">
      <formula1>IF($H180="",TRUE,AND(ISNUMBER(MATCH($H180,Method!$A$4:$A$200,0)),INDEX(Method!$A$4:$A$200,MATCH($H180,Method!$A$4:$A$200,0))&lt;&gt;"",INDEX(Method!$B$4:$B$200,MATCH($H180,Method!$A$4:$A$200,0))&lt;&gt;"",INDEX(Method!$C$4:$C$200,MATCH($H180,Method!$A$4:$A$200,0))&lt;&gt;""))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1">
      <formula1>IF($H181="",TRUE,AND(ISNUMBER(MATCH($H181,Method!$A$4:$A$200,0)),INDEX(Method!$A$4:$A$200,MATCH($H181,Method!$A$4:$A$200,0))&lt;&gt;"",INDEX(Method!$B$4:$B$200,MATCH($H181,Method!$A$4:$A$200,0))&lt;&gt;"",INDEX(Method!$C$4:$C$200,MATCH($H181,Method!$A$4:$A$200,0))&lt;&gt;""))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2">
      <formula1>IF($H182="",TRUE,AND(ISNUMBER(MATCH($H182,Method!$A$4:$A$200,0)),INDEX(Method!$A$4:$A$200,MATCH($H182,Method!$A$4:$A$200,0))&lt;&gt;"",INDEX(Method!$B$4:$B$200,MATCH($H182,Method!$A$4:$A$200,0))&lt;&gt;"",INDEX(Method!$C$4:$C$200,MATCH($H182,Method!$A$4:$A$200,0))&lt;&gt;""))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3">
      <formula1>IF($H183="",TRUE,AND(ISNUMBER(MATCH($H183,Method!$A$4:$A$200,0)),INDEX(Method!$A$4:$A$200,MATCH($H183,Method!$A$4:$A$200,0))&lt;&gt;"",INDEX(Method!$B$4:$B$200,MATCH($H183,Method!$A$4:$A$200,0))&lt;&gt;"",INDEX(Method!$C$4:$C$200,MATCH($H183,Method!$A$4:$A$200,0))&lt;&gt;""))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4">
      <formula1>IF($H184="",TRUE,AND(ISNUMBER(MATCH($H184,Method!$A$4:$A$200,0)),INDEX(Method!$A$4:$A$200,MATCH($H184,Method!$A$4:$A$200,0))&lt;&gt;"",INDEX(Method!$B$4:$B$200,MATCH($H184,Method!$A$4:$A$200,0))&lt;&gt;"",INDEX(Method!$C$4:$C$200,MATCH($H184,Method!$A$4:$A$200,0))&lt;&gt;""))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5">
      <formula1>IF($H185="",TRUE,AND(ISNUMBER(MATCH($H185,Method!$A$4:$A$200,0)),INDEX(Method!$A$4:$A$200,MATCH($H185,Method!$A$4:$A$200,0))&lt;&gt;"",INDEX(Method!$B$4:$B$200,MATCH($H185,Method!$A$4:$A$200,0))&lt;&gt;"",INDEX(Method!$C$4:$C$200,MATCH($H185,Method!$A$4:$A$200,0))&lt;&gt;""))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6">
      <formula1>IF($H186="",TRUE,AND(ISNUMBER(MATCH($H186,Method!$A$4:$A$200,0)),INDEX(Method!$A$4:$A$200,MATCH($H186,Method!$A$4:$A$200,0))&lt;&gt;"",INDEX(Method!$B$4:$B$200,MATCH($H186,Method!$A$4:$A$200,0))&lt;&gt;"",INDEX(Method!$C$4:$C$200,MATCH($H186,Method!$A$4:$A$200,0))&lt;&gt;""))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7">
      <formula1>IF($H187="",TRUE,AND(ISNUMBER(MATCH($H187,Method!$A$4:$A$200,0)),INDEX(Method!$A$4:$A$200,MATCH($H187,Method!$A$4:$A$200,0))&lt;&gt;"",INDEX(Method!$B$4:$B$200,MATCH($H187,Method!$A$4:$A$200,0))&lt;&gt;"",INDEX(Method!$C$4:$C$200,MATCH($H187,Method!$A$4:$A$200,0))&lt;&gt;""))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8">
      <formula1>IF($H188="",TRUE,AND(ISNUMBER(MATCH($H188,Method!$A$4:$A$200,0)),INDEX(Method!$A$4:$A$200,MATCH($H188,Method!$A$4:$A$200,0))&lt;&gt;"",INDEX(Method!$B$4:$B$200,MATCH($H188,Method!$A$4:$A$200,0))&lt;&gt;"",INDEX(Method!$C$4:$C$200,MATCH($H188,Method!$A$4:$A$200,0))&lt;&gt;""))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89">
      <formula1>IF($H189="",TRUE,AND(ISNUMBER(MATCH($H189,Method!$A$4:$A$200,0)),INDEX(Method!$A$4:$A$200,MATCH($H189,Method!$A$4:$A$200,0))&lt;&gt;"",INDEX(Method!$B$4:$B$200,MATCH($H189,Method!$A$4:$A$200,0))&lt;&gt;"",INDEX(Method!$C$4:$C$200,MATCH($H189,Method!$A$4:$A$200,0))&lt;&gt;""))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0">
      <formula1>IF($H190="",TRUE,AND(ISNUMBER(MATCH($H190,Method!$A$4:$A$200,0)),INDEX(Method!$A$4:$A$200,MATCH($H190,Method!$A$4:$A$200,0))&lt;&gt;"",INDEX(Method!$B$4:$B$200,MATCH($H190,Method!$A$4:$A$200,0))&lt;&gt;"",INDEX(Method!$C$4:$C$200,MATCH($H190,Method!$A$4:$A$200,0))&lt;&gt;""))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1">
      <formula1>IF($H191="",TRUE,AND(ISNUMBER(MATCH($H191,Method!$A$4:$A$200,0)),INDEX(Method!$A$4:$A$200,MATCH($H191,Method!$A$4:$A$200,0))&lt;&gt;"",INDEX(Method!$B$4:$B$200,MATCH($H191,Method!$A$4:$A$200,0))&lt;&gt;"",INDEX(Method!$C$4:$C$200,MATCH($H191,Method!$A$4:$A$200,0))&lt;&gt;""))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2">
      <formula1>IF($H192="",TRUE,AND(ISNUMBER(MATCH($H192,Method!$A$4:$A$200,0)),INDEX(Method!$A$4:$A$200,MATCH($H192,Method!$A$4:$A$200,0))&lt;&gt;"",INDEX(Method!$B$4:$B$200,MATCH($H192,Method!$A$4:$A$200,0))&lt;&gt;"",INDEX(Method!$C$4:$C$200,MATCH($H192,Method!$A$4:$A$200,0))&lt;&gt;""))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3">
      <formula1>IF($H193="",TRUE,AND(ISNUMBER(MATCH($H193,Method!$A$4:$A$200,0)),INDEX(Method!$A$4:$A$200,MATCH($H193,Method!$A$4:$A$200,0))&lt;&gt;"",INDEX(Method!$B$4:$B$200,MATCH($H193,Method!$A$4:$A$200,0))&lt;&gt;"",INDEX(Method!$C$4:$C$200,MATCH($H193,Method!$A$4:$A$200,0))&lt;&gt;""))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4">
      <formula1>IF($H194="",TRUE,AND(ISNUMBER(MATCH($H194,Method!$A$4:$A$200,0)),INDEX(Method!$A$4:$A$200,MATCH($H194,Method!$A$4:$A$200,0))&lt;&gt;"",INDEX(Method!$B$4:$B$200,MATCH($H194,Method!$A$4:$A$200,0))&lt;&gt;"",INDEX(Method!$C$4:$C$200,MATCH($H194,Method!$A$4:$A$200,0))&lt;&gt;""))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5">
      <formula1>IF($H195="",TRUE,AND(ISNUMBER(MATCH($H195,Method!$A$4:$A$200,0)),INDEX(Method!$A$4:$A$200,MATCH($H195,Method!$A$4:$A$200,0))&lt;&gt;"",INDEX(Method!$B$4:$B$200,MATCH($H195,Method!$A$4:$A$200,0))&lt;&gt;"",INDEX(Method!$C$4:$C$200,MATCH($H195,Method!$A$4:$A$200,0))&lt;&gt;""))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6">
      <formula1>IF($H196="",TRUE,AND(ISNUMBER(MATCH($H196,Method!$A$4:$A$200,0)),INDEX(Method!$A$4:$A$200,MATCH($H196,Method!$A$4:$A$200,0))&lt;&gt;"",INDEX(Method!$B$4:$B$200,MATCH($H196,Method!$A$4:$A$200,0))&lt;&gt;"",INDEX(Method!$C$4:$C$200,MATCH($H196,Method!$A$4:$A$200,0))&lt;&gt;""))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7">
      <formula1>IF($H197="",TRUE,AND(ISNUMBER(MATCH($H197,Method!$A$4:$A$200,0)),INDEX(Method!$A$4:$A$200,MATCH($H197,Method!$A$4:$A$200,0))&lt;&gt;"",INDEX(Method!$B$4:$B$200,MATCH($H197,Method!$A$4:$A$200,0))&lt;&gt;"",INDEX(Method!$C$4:$C$200,MATCH($H197,Method!$A$4:$A$200,0))&lt;&gt;""))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8">
      <formula1>IF($H198="",TRUE,AND(ISNUMBER(MATCH($H198,Method!$A$4:$A$200,0)),INDEX(Method!$A$4:$A$200,MATCH($H198,Method!$A$4:$A$200,0))&lt;&gt;"",INDEX(Method!$B$4:$B$200,MATCH($H198,Method!$A$4:$A$200,0))&lt;&gt;"",INDEX(Method!$C$4:$C$200,MATCH($H198,Method!$A$4:$A$200,0))&lt;&gt;""))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199">
      <formula1>IF($H199="",TRUE,AND(ISNUMBER(MATCH($H199,Method!$A$4:$A$200,0)),INDEX(Method!$A$4:$A$200,MATCH($H199,Method!$A$4:$A$200,0))&lt;&gt;"",INDEX(Method!$B$4:$B$200,MATCH($H199,Method!$A$4:$A$200,0))&lt;&gt;"",INDEX(Method!$C$4:$C$200,MATCH($H199,Method!$A$4:$A$200,0))&lt;&gt;""))</formula1>
    </dataValidation>
    <dataValidation type="custom" allowBlank="1" showInputMessage="1" showErrorMessage="1" errorTitle="Unknown method_tag" error="Enter a method_tag defined in the Method sheet with its required fields filled." sqref="H200">
      <formula1>IF($H200="",TRUE,AND(ISNUMBER(MATCH($H200,Method!$A$4:$A$200,0)),INDEX(Method!$A$4:$A$200,MATCH($H200,Method!$A$4:$A$200,0))&lt;&gt;"",INDEX(Method!$B$4:$B$200,MATCH($H200,Method!$A$4:$A$200,0))&lt;&gt;"",INDEX(Method!$C$4:$C$200,MATCH($H200,Method!$A$4:$A$200,0))&lt;&gt;""))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66</v>
      </c>
      <c r="B1" t="s">
        <v>65</v>
      </c>
    </row>
    <row r="2" spans="1:2">
      <c r="A2" t="s">
        <v>81</v>
      </c>
      <c r="B2" t="s">
        <v>82</v>
      </c>
    </row>
    <row r="3" spans="1:2">
      <c r="A3" t="s">
        <v>83</v>
      </c>
      <c r="B3" t="s">
        <v>84</v>
      </c>
    </row>
    <row r="4" spans="1:2">
      <c r="A4" t="s">
        <v>85</v>
      </c>
      <c r="B4" t="s">
        <v>86</v>
      </c>
    </row>
    <row r="5" spans="1:2">
      <c r="A5" t="s">
        <v>87</v>
      </c>
      <c r="B5" t="s">
        <v>88</v>
      </c>
    </row>
    <row r="6" spans="1:2">
      <c r="A6" t="s">
        <v>89</v>
      </c>
      <c r="B6" t="s">
        <v>90</v>
      </c>
    </row>
    <row r="7" spans="1:2">
      <c r="A7" t="s">
        <v>91</v>
      </c>
      <c r="B7" t="s">
        <v>92</v>
      </c>
    </row>
    <row r="8" spans="1:2">
      <c r="A8" t="s">
        <v>93</v>
      </c>
      <c r="B8" t="s">
        <v>94</v>
      </c>
    </row>
    <row r="9" spans="1:2">
      <c r="A9" t="s">
        <v>95</v>
      </c>
      <c r="B9" t="s">
        <v>96</v>
      </c>
    </row>
    <row r="10" spans="1:2">
      <c r="A10" t="s">
        <v>97</v>
      </c>
      <c r="B10" t="s">
        <v>98</v>
      </c>
    </row>
    <row r="11" spans="1:2">
      <c r="A11" t="s">
        <v>99</v>
      </c>
      <c r="B11" t="s">
        <v>100</v>
      </c>
    </row>
    <row r="12" spans="1:2">
      <c r="A12" t="s">
        <v>101</v>
      </c>
      <c r="B12" t="s">
        <v>102</v>
      </c>
    </row>
    <row r="13" spans="1:2">
      <c r="A13" t="s">
        <v>103</v>
      </c>
      <c r="B13" t="s">
        <v>104</v>
      </c>
    </row>
    <row r="14" spans="1:2">
      <c r="A14" t="s">
        <v>105</v>
      </c>
      <c r="B14" t="s">
        <v>106</v>
      </c>
    </row>
    <row r="15" spans="1:2">
      <c r="A15" t="s">
        <v>107</v>
      </c>
      <c r="B15" t="s">
        <v>108</v>
      </c>
    </row>
    <row r="16" spans="1:2">
      <c r="A16" t="s">
        <v>109</v>
      </c>
      <c r="B16" t="s">
        <v>110</v>
      </c>
    </row>
    <row r="17" spans="1:2">
      <c r="A17" t="s">
        <v>111</v>
      </c>
      <c r="B17" t="s">
        <v>112</v>
      </c>
    </row>
    <row r="18" spans="1:2">
      <c r="A18" t="s">
        <v>113</v>
      </c>
      <c r="B18" t="s">
        <v>114</v>
      </c>
    </row>
    <row r="19" spans="1:2">
      <c r="A19" t="s">
        <v>115</v>
      </c>
      <c r="B19" t="s">
        <v>116</v>
      </c>
    </row>
    <row r="20" spans="1:2">
      <c r="A20" t="s">
        <v>76</v>
      </c>
      <c r="B20" t="s">
        <v>75</v>
      </c>
    </row>
    <row r="21" spans="1:2">
      <c r="A21" t="s">
        <v>117</v>
      </c>
      <c r="B21" t="s">
        <v>118</v>
      </c>
    </row>
    <row r="22" spans="1:2">
      <c r="A22" t="s">
        <v>119</v>
      </c>
      <c r="B22" t="s">
        <v>120</v>
      </c>
    </row>
    <row r="23" spans="1:2">
      <c r="A23" t="s">
        <v>121</v>
      </c>
      <c r="B2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15.7109375" customWidth="1"/>
    <col min="3" max="3" width="20.7109375" customWidth="1"/>
    <col min="4" max="4" width="21.7109375" customWidth="1"/>
    <col min="5" max="5" width="27.7109375" customWidth="1"/>
    <col min="6" max="6" width="23.7109375" customWidth="1"/>
    <col min="7" max="8" width="14.7109375" customWidth="1"/>
    <col min="9" max="9" width="17.7109375" customWidth="1"/>
  </cols>
  <sheetData>
    <row r="1" spans="1:9" ht="42" customHeight="1">
      <c r="A1" s="1" t="s">
        <v>123</v>
      </c>
      <c r="B1" s="1" t="s">
        <v>52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60</v>
      </c>
      <c r="I1" s="1" t="s">
        <v>129</v>
      </c>
    </row>
    <row r="2" spans="1:9" ht="22" customHeight="1">
      <c r="A2" s="2" t="s">
        <v>130</v>
      </c>
      <c r="B2" s="2" t="s">
        <v>62</v>
      </c>
      <c r="C2" s="2" t="s">
        <v>63</v>
      </c>
      <c r="D2" s="2" t="s">
        <v>131</v>
      </c>
      <c r="E2" s="3" t="s">
        <v>132</v>
      </c>
      <c r="F2" s="3" t="s">
        <v>133</v>
      </c>
      <c r="G2" s="2" t="s">
        <v>69</v>
      </c>
      <c r="H2" s="3" t="s">
        <v>70</v>
      </c>
      <c r="I2" s="3" t="s">
        <v>134</v>
      </c>
    </row>
    <row r="3" spans="1:9" ht="36" customHeight="1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  <c r="H3" s="4" t="s">
        <v>142</v>
      </c>
      <c r="I3" s="4"/>
    </row>
    <row r="4" spans="1:9" s="5" customFormat="1" ht="18" customHeight="1"/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D4:D200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0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2" width="14.7109375" customWidth="1"/>
    <col min="3" max="3" width="24.7109375" customWidth="1"/>
    <col min="4" max="4" width="14.7109375" customWidth="1"/>
    <col min="5" max="5" width="24.7109375" customWidth="1"/>
    <col min="6" max="6" width="14.7109375" customWidth="1"/>
    <col min="7" max="7" width="24.7109375" customWidth="1"/>
    <col min="8" max="8" width="18.7109375" customWidth="1"/>
    <col min="9" max="9" width="14.7109375" customWidth="1"/>
    <col min="10" max="10" width="25.7109375" customWidth="1"/>
    <col min="11" max="11" width="14.7109375" customWidth="1"/>
    <col min="12" max="12" width="28.7109375" customWidth="1"/>
    <col min="13" max="13" width="15.7109375" customWidth="1"/>
    <col min="14" max="14" width="14.7109375" customWidth="1"/>
    <col min="15" max="15" width="15.7109375" customWidth="1"/>
    <col min="16" max="16" width="36.7109375" customWidth="1"/>
    <col min="17" max="17" width="15.7109375" customWidth="1"/>
    <col min="18" max="18" width="14.7109375" customWidth="1"/>
    <col min="19" max="19" width="22.7109375" customWidth="1"/>
    <col min="20" max="20" width="14.7109375" customWidth="1"/>
    <col min="21" max="21" width="27.7109375" customWidth="1"/>
    <col min="22" max="22" width="17.7109375" customWidth="1"/>
  </cols>
  <sheetData>
    <row r="1" spans="1:22" ht="42" customHeight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</row>
    <row r="2" spans="1:22" ht="22" customHeight="1">
      <c r="A2" s="2" t="s">
        <v>68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  <c r="R2" s="3" t="s">
        <v>181</v>
      </c>
      <c r="S2" s="3" t="s">
        <v>182</v>
      </c>
      <c r="T2" s="3" t="s">
        <v>183</v>
      </c>
      <c r="U2" s="3" t="s">
        <v>184</v>
      </c>
      <c r="V2" s="3" t="s">
        <v>185</v>
      </c>
    </row>
    <row r="3" spans="1:22" ht="36" customHeight="1">
      <c r="A3" s="4" t="s">
        <v>78</v>
      </c>
      <c r="B3" s="4" t="s">
        <v>186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  <c r="H3" s="4" t="s">
        <v>192</v>
      </c>
      <c r="I3" s="4" t="s">
        <v>193</v>
      </c>
      <c r="J3" s="4" t="s">
        <v>194</v>
      </c>
      <c r="K3" s="4" t="s">
        <v>195</v>
      </c>
      <c r="L3" s="4" t="s">
        <v>196</v>
      </c>
      <c r="M3" s="4" t="s">
        <v>197</v>
      </c>
      <c r="N3" s="4" t="s">
        <v>198</v>
      </c>
      <c r="O3" s="4" t="s">
        <v>199</v>
      </c>
      <c r="P3" s="4" t="s">
        <v>200</v>
      </c>
      <c r="Q3" s="4" t="s">
        <v>201</v>
      </c>
      <c r="R3" s="4" t="s">
        <v>202</v>
      </c>
      <c r="S3" s="4" t="s">
        <v>203</v>
      </c>
      <c r="T3" s="4" t="s">
        <v>204</v>
      </c>
      <c r="U3" s="4" t="s">
        <v>205</v>
      </c>
      <c r="V3" s="4" t="s">
        <v>206</v>
      </c>
    </row>
    <row r="4" spans="1:22" s="5" customFormat="1" ht="18" customHeight="1"/>
    <row r="5" spans="1:22" s="5" customFormat="1" ht="18" customHeight="1"/>
    <row r="6" spans="1:22" s="5" customFormat="1" ht="18" customHeight="1"/>
    <row r="7" spans="1:22" s="5" customFormat="1" ht="18" customHeight="1"/>
    <row r="8" spans="1:22" s="5" customFormat="1" ht="18" customHeight="1"/>
    <row r="9" spans="1:22" s="5" customFormat="1" ht="18" customHeight="1"/>
    <row r="10" spans="1:22" s="5" customFormat="1" ht="18" customHeight="1"/>
    <row r="11" spans="1:22" s="5" customFormat="1" ht="18" customHeight="1"/>
    <row r="12" spans="1:22" s="5" customFormat="1" ht="18" customHeight="1"/>
    <row r="13" spans="1:22" s="5" customFormat="1" ht="18" customHeight="1"/>
    <row r="14" spans="1:22" s="5" customFormat="1" ht="18" customHeight="1"/>
    <row r="15" spans="1:22" s="5" customFormat="1" ht="18" customHeight="1"/>
    <row r="16" spans="1:22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3">
    <dataValidation type="list" allowBlank="1" showInputMessage="1" showErrorMessage="1" sqref="N4:N200">
      <formula1>"healthy,disease"</formula1>
    </dataValidation>
    <dataValidation type="list" allowBlank="1" showInputMessage="1" showErrorMessage="1" sqref="R4:R200">
      <formula1>"male,female,mixed,unknown"</formula1>
    </dataValidation>
    <dataValidation type="list" allowBlank="1" showInputMessage="1" showErrorMessage="1" sqref="S4:S200">
      <formula1>"PATO_0000383,PATO_0000384,PATO_0001894"</formula1>
    </dataValidation>
  </dataValidations>
  <hyperlinks>
    <hyperlink ref="E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30.7109375" customWidth="1"/>
    <col min="4" max="4" width="15.7109375" customWidth="1"/>
    <col min="5" max="5" width="18.7109375" customWidth="1"/>
    <col min="6" max="7" width="24.7109375" customWidth="1"/>
    <col min="8" max="8" width="20.7109375" customWidth="1"/>
    <col min="9" max="9" width="15.7109375" customWidth="1"/>
  </cols>
  <sheetData>
    <row r="1" spans="1:9" ht="42" customHeight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214</v>
      </c>
    </row>
    <row r="2" spans="1:9" ht="22" customHeight="1">
      <c r="A2" s="2" t="s">
        <v>69</v>
      </c>
      <c r="B2" s="2" t="s">
        <v>215</v>
      </c>
      <c r="C2" s="2" t="s">
        <v>216</v>
      </c>
      <c r="D2" s="3" t="s">
        <v>217</v>
      </c>
      <c r="E2" s="3" t="s">
        <v>218</v>
      </c>
      <c r="F2" s="3" t="s">
        <v>219</v>
      </c>
      <c r="G2" s="3" t="s">
        <v>220</v>
      </c>
      <c r="H2" s="3" t="s">
        <v>221</v>
      </c>
      <c r="I2" s="3" t="s">
        <v>71</v>
      </c>
    </row>
    <row r="3" spans="1:9" ht="36" customHeight="1">
      <c r="A3" s="4" t="s">
        <v>79</v>
      </c>
      <c r="B3" s="4" t="s">
        <v>222</v>
      </c>
      <c r="C3" s="4" t="s">
        <v>223</v>
      </c>
      <c r="D3" s="4" t="s">
        <v>224</v>
      </c>
      <c r="E3" s="4" t="s">
        <v>225</v>
      </c>
      <c r="F3" s="4" t="s">
        <v>226</v>
      </c>
      <c r="G3" s="4" t="s">
        <v>227</v>
      </c>
      <c r="H3" s="4" t="s">
        <v>228</v>
      </c>
      <c r="I3" s="4"/>
    </row>
    <row r="4" spans="1:9" s="5" customFormat="1" ht="18" customHeight="1"/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2">
    <dataValidation type="list" allowBlank="1" showInputMessage="1" showErrorMessage="1" sqref="B4:B200">
      <formula1>"software,manual"</formula1>
    </dataValidation>
    <dataValidation type="list" allowBlank="1" showInputMessage="1" showErrorMessage="1" sqref="C4:C200">
      <formula1>"ECO_0000218,ECO_0000203,ECO_0007674,ECO_0007673"</formula1>
    </dataValidation>
  </dataValidations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DatasetDescription</vt:lpstr>
      <vt:lpstr>GenomicIdentifier</vt:lpstr>
      <vt:lpstr>Evidence</vt:lpstr>
      <vt:lpstr>validation</vt:lpstr>
      <vt:lpstr>Integration</vt:lpstr>
      <vt:lpstr>Source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2025-12-22T21:20:00Z</dcterms:created>
  <dcterms:modified xsi:type="dcterms:W3CDTF">2025-12-22T21:20:00Z</dcterms:modified>
</cp:coreProperties>
</file>